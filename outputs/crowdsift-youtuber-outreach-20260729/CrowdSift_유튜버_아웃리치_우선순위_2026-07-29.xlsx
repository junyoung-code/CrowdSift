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bd2e7148542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우선순위" sheetId="1" r:id="Re570c8cf15ff4c71"/>
    <x:sheet xmlns:r="http://schemas.openxmlformats.org/officeDocument/2006/relationships" name="후보_리서치" sheetId="2" r:id="Red8c457c426c4cc1"/>
    <x:sheet xmlns:r="http://schemas.openxmlformats.org/officeDocument/2006/relationships" name="메일관리" sheetId="3" r:id="Rc036d32004ce4395"/>
    <x:sheet xmlns:r="http://schemas.openxmlformats.org/officeDocument/2006/relationships" name="점수기준" sheetId="4" r:id="R86cfedd211274d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#,##0"/>
    <x:numFmt numFmtId="202" formatCode="0"/>
    <x:numFmt numFmtId="203" formatCode="0.0"/>
    <x:numFmt numFmtId="204" formatCode="yyyy-mm-dd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E293B"/>
      <x:name val="Carlito"/>
    </x:font>
    <x:font>
      <x:b/>
      <x:sz val="11"/>
      <x:color rgb="FFFFFFFF"/>
      <x:name val="Carlito"/>
    </x:font>
    <x:font>
      <x:b/>
      <x:sz val="11"/>
      <x:color rgb="FF0F766E"/>
      <x:name val="Carlito"/>
    </x:font>
    <x:font>
      <x:b/>
      <x:sz val="11"/>
      <x:color rgb="FF92400E"/>
      <x:name val="Carlito"/>
    </x:font>
    <x:font>
      <x:sz val="11"/>
      <x:color rgb="FF64748B"/>
      <x:name val="Carlito"/>
    </x:font>
    <x:font>
      <x:b/>
      <x:sz val="10"/>
      <x:color rgb="FFFFFFFF"/>
      <x:name val="Aptos"/>
    </x:font>
    <x:font>
      <x:sz val="9"/>
      <x:name val="Aptos"/>
    </x:font>
    <x:font>
      <x:b/>
      <x:sz val="20"/>
      <x:color rgb="FFFFFFFF"/>
      <x:name val="Carlito"/>
    </x:font>
    <x:font>
      <x:i/>
      <x:sz val="11"/>
      <x:color rgb="FF0F766E"/>
      <x:name val="Carlito"/>
    </x:font>
    <x:font>
      <x:sz val="11"/>
      <x:color rgb="FF1E293B"/>
      <x:name val="Carlito"/>
    </x:font>
    <x:font>
      <x:b/>
      <x:sz val="11"/>
      <x:color rgb="FF64748B"/>
      <x:name val="Carlito"/>
    </x:font>
    <x:font>
      <x:b/>
      <x:sz val="11"/>
      <x:color rgb="FF0F172A"/>
      <x:name val="Carlito"/>
    </x:font>
    <x:font>
      <x:sz val="10"/>
      <x:name val="Aptos"/>
    </x:font>
    <x:font>
      <x:i/>
      <x:sz val="11"/>
      <x:color rgb="FF92400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1E293B"/>
      </x:patternFill>
    </x:fill>
    <x:fill>
      <x:patternFill patternType="solid">
        <x:fgColor rgb="FFFEF3C7"/>
      </x:patternFill>
    </x:fill>
  </x:fills>
  <x:borders count="5">
    <x:border/>
    <x:border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horizontal="center" vertical="top" wrapText="1"/>
    </x:xf>
    <x:xf numFmtId="0" fontId="8" fillId="0" borderId="1" xfId="0" applyNumberFormat="1" applyFont="1" applyFill="1" applyBorder="1" applyAlignment="1">
      <x:alignment horizontal="center" vertical="top" wrapText="1"/>
    </x:xf>
    <x:xf numFmtId="201" fontId="8" fillId="0" borderId="0" xfId="0" applyNumberFormat="1" applyFont="1" applyFill="1" applyBorder="1" applyAlignment="1">
      <x:alignment vertical="top" wrapText="1"/>
    </x:xf>
    <x:xf numFmtId="201" fontId="8" fillId="0" borderId="1" xfId="0" applyNumberFormat="1" applyFont="1" applyFill="1" applyBorder="1" applyAlignment="1">
      <x:alignment vertical="top" wrapText="1"/>
    </x:xf>
    <x:xf numFmtId="202" fontId="8" fillId="0" borderId="0" xfId="0" applyNumberFormat="1" applyFont="1" applyFill="1" applyBorder="1" applyAlignment="1">
      <x:alignment horizontal="center" vertical="top" wrapText="1"/>
    </x:xf>
    <x:xf numFmtId="202" fontId="8" fillId="0" borderId="1" xfId="0" applyNumberFormat="1" applyFont="1" applyFill="1" applyBorder="1" applyAlignment="1">
      <x:alignment horizontal="center" vertical="top" wrapText="1"/>
    </x:xf>
    <x:xf numFmtId="203" fontId="8" fillId="0" borderId="0" xfId="0" applyNumberFormat="1" applyFont="1" applyFill="1" applyBorder="1" applyAlignment="1">
      <x:alignment horizontal="center" vertical="top" wrapText="1"/>
    </x:xf>
    <x:xf numFmtId="203" fontId="8" fillId="0" borderId="1" xfId="0" applyNumberFormat="1" applyFont="1" applyFill="1" applyBorder="1" applyAlignment="1">
      <x:alignment horizontal="center" vertical="top" wrapText="1"/>
    </x:xf>
    <x:xf numFmtId="204" fontId="8" fillId="0" borderId="0" xfId="0" applyNumberFormat="1" applyFont="1" applyFill="1" applyBorder="1" applyAlignment="1">
      <x:alignment vertical="top" wrapText="1"/>
    </x:xf>
    <x:xf numFmtId="204" fontId="8" fillId="0" borderId="1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/>
    <x:xf numFmtId="0" fontId="11" fillId="3" borderId="2" xfId="0" applyNumberFormat="1" applyFont="1" applyFill="1" applyBorder="1"/>
    <x:xf numFmtId="0" fontId="11" fillId="3" borderId="3" xfId="0" applyNumberFormat="1" applyFont="1" applyFill="1" applyBorder="1"/>
    <x:xf numFmtId="0" fontId="11" fillId="3" borderId="4" xfId="0" applyNumberFormat="1" applyFont="1" applyFill="1" applyBorder="1"/>
    <x:xf numFmtId="0" fontId="11" fillId="3" borderId="2" xfId="0" applyNumberFormat="1" applyFont="1" applyFill="1" applyBorder="1" applyAlignment="1">
      <x:alignment vertical="center"/>
    </x:xf>
    <x:xf numFmtId="0" fontId="11" fillId="3" borderId="3" xfId="0" applyNumberFormat="1" applyFont="1" applyFill="1" applyBorder="1" applyAlignment="1">
      <x:alignment vertical="center"/>
    </x:xf>
    <x:xf numFmtId="0" fontId="11" fillId="3" borderId="4" xfId="0" applyNumberFormat="1" applyFont="1" applyFill="1" applyBorder="1" applyAlignment="1">
      <x:alignment vertical="center"/>
    </x:xf>
    <x:xf numFmtId="0" fontId="12" fillId="3" borderId="2" xfId="0" applyNumberFormat="1" applyFont="1" applyFill="1" applyBorder="1" applyAlignment="1">
      <x:alignment vertical="center"/>
    </x:xf>
    <x:xf numFmtId="0" fontId="13" fillId="3" borderId="3" xfId="0" applyNumberFormat="1" applyFont="1" applyFill="1" applyBorder="1" applyAlignment="1">
      <x:alignment vertical="center"/>
    </x:xf>
    <x:xf numFmtId="204" fontId="11" fillId="3" borderId="3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/>
    <x:xf numFmtId="0" fontId="14" fillId="0" borderId="1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4" fillId="0" borderId="1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top" wrapText="1"/>
    </x:xf>
    <x:xf numFmtId="0" fontId="14" fillId="0" borderId="1" xfId="0" applyNumberFormat="1" applyFont="1" applyFill="1" applyBorder="1" applyAlignment="1">
      <x:alignment vertical="top" wrapText="1"/>
    </x:xf>
    <x:xf numFmtId="0" fontId="14" fillId="0" borderId="0" xfId="0" applyNumberFormat="1" applyFont="1" applyFill="1" applyBorder="1" applyAlignment="1">
      <x:alignment horizontal="center" vertical="top" wrapText="1"/>
    </x:xf>
    <x:xf numFmtId="0" fontId="14" fillId="0" borderId="1" xfId="0" applyNumberFormat="1" applyFont="1" applyFill="1" applyBorder="1" applyAlignment="1">
      <x:alignment horizontal="center" vertical="top" wrapText="1"/>
    </x:xf>
    <x:xf numFmtId="202" fontId="14" fillId="0" borderId="0" xfId="0" applyNumberFormat="1" applyFont="1" applyFill="1" applyBorder="1" applyAlignment="1">
      <x:alignment horizontal="center" vertical="top" wrapText="1"/>
    </x:xf>
    <x:xf numFmtId="202" fontId="14" fillId="0" borderId="1" xfId="0" applyNumberFormat="1" applyFont="1" applyFill="1" applyBorder="1" applyAlignment="1">
      <x:alignment horizontal="center" vertical="top" wrapText="1"/>
    </x:xf>
    <x:xf numFmtId="201" fontId="14" fillId="0" borderId="0" xfId="0" applyNumberFormat="1" applyFont="1" applyFill="1" applyBorder="1" applyAlignment="1">
      <x:alignment horizontal="center" vertical="top" wrapText="1"/>
    </x:xf>
    <x:xf numFmtId="201" fontId="14" fillId="0" borderId="1" xfId="0" applyNumberFormat="1" applyFont="1" applyFill="1" applyBorder="1" applyAlignment="1">
      <x:alignment horizontal="center" vertical="top" wrapText="1"/>
    </x:xf>
    <x:xf numFmtId="0" fontId="15" fillId="7" borderId="0" xfId="0" applyNumberFormat="1" applyFont="1" applyFill="1" applyBorder="1"/>
    <x:xf numFmtId="204" fontId="14" fillId="0" borderId="0" xfId="0" applyNumberFormat="1" applyFont="1" applyFill="1" applyBorder="1" applyAlignment="1">
      <x:alignment vertical="top" wrapText="1"/>
    </x:xf>
    <x:xf numFmtId="204" fontId="14" fillId="0" borderId="1" xfId="0" applyNumberFormat="1" applyFont="1" applyFill="1" applyBorder="1" applyAlignment="1">
      <x:alignment vertical="top"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F1239"/>
      </x:font>
      <x:fill>
        <x:patternFill patternType="solid">
          <x:bgColor rgb="FFFFE4E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F1239"/>
      </x:font>
      <x:fill>
        <x:patternFill patternType="solid">
          <x:bgColor rgb="FFFFE4E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F1239"/>
      </x:font>
      <x:fill>
        <x:patternFill patternType="solid">
          <x:bgColor rgb="FFFFE4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f119ce47da4c7f" /><Relationship Type="http://schemas.openxmlformats.org/officeDocument/2006/relationships/theme" Target="/xl/theme/theme1.xml" Id="R235bf37c406e4e7c" /><Relationship Type="http://schemas.openxmlformats.org/officeDocument/2006/relationships/sharedStrings" Target="/xl/sharedStrings.xml" Id="R35b08d2a8dca4e2f" /><Relationship Type="http://schemas.openxmlformats.org/officeDocument/2006/relationships/worksheet" Target="/xl/worksheets/sheet1.xml" Id="Re570c8cf15ff4c71" /><Relationship Type="http://schemas.openxmlformats.org/officeDocument/2006/relationships/worksheet" Target="/xl/worksheets/sheet2.xml" Id="Red8c457c426c4cc1" /><Relationship Type="http://schemas.openxmlformats.org/officeDocument/2006/relationships/worksheet" Target="/xl/worksheets/sheet3.xml" Id="Rc036d32004ce4395" /><Relationship Type="http://schemas.openxmlformats.org/officeDocument/2006/relationships/worksheet" Target="/xl/worksheets/sheet4.xml" Id="R86cfedd211274d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1" hidden="0" customWidth="1"/>
    <x:col min="3" max="3" width="28" hidden="0" customWidth="1"/>
    <x:col min="4" max="4" width="12" hidden="0" customWidth="1"/>
    <x:col min="5" max="5" width="17" hidden="0" customWidth="1"/>
    <x:col min="6" max="6" width="18" hidden="0" customWidth="1"/>
    <x:col min="7" max="7" width="43" hidden="0" customWidth="1"/>
    <x:col min="8" max="8" width="43" hidden="0" customWidth="1"/>
    <x:col min="9" max="9" width="40" hidden="0" customWidth="1"/>
    <x:col min="10" max="10" width="14" hidden="0" customWidth="1"/>
  </x:cols>
  <x:sheetData>
    <x:row r="1" ht="38" customHeight="1">
      <x:c r="A1" s="43" t="str">
        <x:v>CrowdSift 유튜버 아웃리치 우선순위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2">
      <x:c r="A2" s="45" t="str">
        <x:v>추천 순서: 1차 후보 5명에게 각 채널 최근 영상 댓글 50개 무료 진단을 제안하고, 반응을 본 뒤 2·3차로 확대합니다.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 s="53" t="str">
        <x:v>1차 발송 후보</x:v>
      </x:c>
      <x:c r="B3" s="54" t="n">
        <x:f>COUNTIF(B6:B15,"1차")</x:f>
        <x:v>5</x:v>
      </x:c>
      <x:c r="C3" s="51" t="str">
        <x:v>전체 후보</x:v>
      </x:c>
      <x:c r="D3" s="51" t="n">
        <x:f>COUNTA(C6:C15)</x:f>
        <x:v>10</x:v>
      </x:c>
      <x:c r="E3" s="51" t="str">
        <x:v>리서치 확인일</x:v>
      </x:c>
      <x:c r="F3" s="55" t="n">
        <x:v>46232</x:v>
      </x:c>
      <x:c r="G3" s="51" t="str">
        <x:v>권장 파일럿 댓글수</x:v>
      </x:c>
      <x:c r="H3" s="51" t="n">
        <x:v>50</x:v>
      </x:c>
      <x:c r="I3" s="51" t="str">
        <x:v>실제 메일 발송</x:v>
      </x:c>
      <x:c r="J3" s="52" t="str">
        <x:v>미수행</x:v>
      </x:c>
    </x:row>
    <x:row r="5" ht="34" customHeight="1">
      <x:c r="A5" s="25" t="str">
        <x:v>순위</x:v>
      </x:c>
      <x:c r="B5" s="25" t="str">
        <x:v>웨이브</x:v>
      </x:c>
      <x:c r="C5" s="25" t="str">
        <x:v>채널</x:v>
      </x:c>
      <x:c r="D5" s="25" t="str">
        <x:v>종합점수</x:v>
      </x:c>
      <x:c r="E5" s="25" t="str">
        <x:v>구독자(추정)</x:v>
      </x:c>
      <x:c r="F5" s="25" t="str">
        <x:v>분야</x:v>
      </x:c>
      <x:c r="G5" s="25" t="str">
        <x:v>먼저 연락할 근거</x:v>
      </x:c>
      <x:c r="H5" s="25" t="str">
        <x:v>첫 메일 제안</x:v>
      </x:c>
      <x:c r="I5" s="25" t="str">
        <x:v>공개 연락 경로</x:v>
      </x:c>
      <x:c r="J5" s="25" t="str">
        <x:v>발송 상태</x:v>
      </x:c>
    </x:row>
    <x:row r="6" ht="58" customHeight="1">
      <x:c r="A6" s="62" t="n">
        <x:f>'후보_리서치'!A5</x:f>
        <x:v>1</x:v>
      </x:c>
      <x:c r="B6" s="62" t="str">
        <x:f>'후보_리서치'!B5</x:f>
        <x:v>1차</x:v>
      </x:c>
      <x:c r="C6" s="60" t="str">
        <x:f>'후보_리서치'!C5</x:f>
        <x:v>안될과학 Unrealscience</x:v>
      </x:c>
      <x:c r="D6" s="64" t="n">
        <x:f>'후보_리서치'!O5</x:f>
        <x:v>95</x:v>
      </x:c>
      <x:c r="E6" s="66" t="n">
        <x:f>'후보_리서치'!E5</x:f>
        <x:v>1390000</x:v>
      </x:c>
      <x:c r="F6" s="62" t="str">
        <x:f>'후보_리서치'!D5</x:f>
        <x:v>과학·지식</x:v>
      </x:c>
      <x:c r="G6" s="60" t="str">
        <x:f>'후보_리서치'!S5</x:f>
        <x:v>댓글량·업로드 빈도·질문 밀도가 모두 높아 CrowdSift의 Q&amp;A/피드백 분류 효과를 빠르게 입증하기 좋음.</x:v>
      </x:c>
      <x:c r="H6" s="60" t="str">
        <x:f>'후보_리서치'!T5</x:f>
        <x:v>최근 영상 1개의 공개 댓글 50개를 질문·사실보완·위험댓글로 나눈 무료 진단을 먼저 제안.</x:v>
      </x:c>
      <x:c r="I6" s="60" t="str">
        <x:f>'후보_리서치'!U5</x:f>
        <x:v>https://www.youtube.com/@unrealscience/about</x:v>
      </x:c>
      <x:c r="J6" s="60" t="str">
        <x:v>미발송</x:v>
      </x:c>
    </x:row>
    <x:row r="7" ht="58" customHeight="1">
      <x:c r="A7" s="62" t="n">
        <x:f>'후보_리서치'!A6</x:f>
        <x:v>2</x:v>
      </x:c>
      <x:c r="B7" s="62" t="str">
        <x:f>'후보_리서치'!B6</x:f>
        <x:v>1차</x:v>
      </x:c>
      <x:c r="C7" s="60" t="str">
        <x:f>'후보_리서치'!C6</x:f>
        <x:v>디에디트 THE EDIT</x:v>
      </x:c>
      <x:c r="D7" s="64" t="n">
        <x:f>'후보_리서치'!O6</x:f>
        <x:v>94</x:v>
      </x:c>
      <x:c r="E7" s="66" t="n">
        <x:f>'후보_리서치'!E6</x:f>
        <x:v>590000</x:v>
      </x:c>
      <x:c r="F7" s="62" t="str">
        <x:f>'후보_리서치'!D6</x:f>
        <x:v>테크·제품리뷰</x:v>
      </x:c>
      <x:c r="G7" s="60" t="str">
        <x:f>'후보_리서치'!S6</x:f>
        <x:v>제품별 질문과 실사용 피드백이 다음 콘텐츠 및 커머스 판단으로 직접 연결되어 초기 가치 제시가 명확함.</x:v>
      </x:c>
      <x:c r="H7" s="60" t="str">
        <x:f>'후보_리서치'!T6</x:f>
        <x:v>리뷰 영상 댓글에서 구매질문·호환성·불량제보를 자동 묶어주는 20분 파일럿 제안.</x:v>
      </x:c>
      <x:c r="I7" s="60" t="str">
        <x:f>'후보_리서치'!U6</x:f>
        <x:v>https://www.youtube.com/@the-edit/about</x:v>
      </x:c>
      <x:c r="J7" s="60" t="str">
        <x:v>미발송</x:v>
      </x:c>
    </x:row>
    <x:row r="8" ht="58" customHeight="1">
      <x:c r="A8" s="62" t="n">
        <x:f>'후보_리서치'!A7</x:f>
        <x:v>3</x:v>
      </x:c>
      <x:c r="B8" s="62" t="str">
        <x:f>'후보_리서치'!B7</x:f>
        <x:v>1차</x:v>
      </x:c>
      <x:c r="C8" s="60" t="str">
        <x:f>'후보_리서치'!C7</x:f>
        <x:v>닥터프렌즈</x:v>
      </x:c>
      <x:c r="D8" s="64" t="n">
        <x:f>'후보_리서치'!O7</x:f>
        <x:v>91</x:v>
      </x:c>
      <x:c r="E8" s="66" t="n">
        <x:f>'후보_리서치'!E7</x:f>
        <x:v>1420000</x:v>
      </x:c>
      <x:c r="F8" s="62" t="str">
        <x:f>'후보_리서치'!D7</x:f>
        <x:v>의학·건강</x:v>
      </x:c>
      <x:c r="G8" s="60" t="str">
        <x:f>'후보_리서치'!S7</x:f>
        <x:v>유용한 질문과 민감·위험 댓글이 동시에 존재하는 영역이라 안전하게 가리고 신호를 살리는 차별점이 큼.</x:v>
      </x:c>
      <x:c r="H8" s="60" t="str">
        <x:f>'후보_리서치'!T7</x:f>
        <x:v>위험 원문은 가린 채 반복 건강질문과 오정보 보완 댓글만 먼저 보여주는 안전 데모 제안.</x:v>
      </x:c>
      <x:c r="I8" s="60" t="str">
        <x:f>'후보_리서치'!U7</x:f>
        <x:v>https://www.youtube.com/channel/UCVfLNEch9YxD4tX1L-crkMQ/about</x:v>
      </x:c>
      <x:c r="J8" s="60" t="str">
        <x:v>미발송</x:v>
      </x:c>
    </x:row>
    <x:row r="9" ht="58" customHeight="1">
      <x:c r="A9" s="62" t="n">
        <x:f>'후보_리서치'!A8</x:f>
        <x:v>4</x:v>
      </x:c>
      <x:c r="B9" s="62" t="str">
        <x:f>'후보_리서치'!B8</x:f>
        <x:v>1차</x:v>
      </x:c>
      <x:c r="C9" s="60" t="str">
        <x:f>'후보_리서치'!C8</x:f>
        <x:v>ITSub잇섭</x:v>
      </x:c>
      <x:c r="D9" s="64" t="n">
        <x:f>'후보_리서치'!O8</x:f>
        <x:v>90</x:v>
      </x:c>
      <x:c r="E9" s="66" t="n">
        <x:f>'후보_리서치'!E8</x:f>
        <x:v>2830000</x:v>
      </x:c>
      <x:c r="F9" s="62" t="str">
        <x:f>'후보_리서치'!D8</x:f>
        <x:v>테크·제품리뷰</x:v>
      </x:c>
      <x:c r="G9" s="60" t="str">
        <x:f>'후보_리서치'!S8</x:f>
        <x:v>신제품마다 반복 질문과 실사용 제보가 폭증해 자동 묶음·우선순위화의 정량 효과가 클 가능성이 높음.</x:v>
      </x:c>
      <x:c r="H9" s="60" t="str">
        <x:f>'후보_리서치'!T8</x:f>
        <x:v>신제품 영상 1개에서 호환성·불량·구매질문 TOP 5를 뽑는 파일럿을 제안.</x:v>
      </x:c>
      <x:c r="I9" s="60" t="str">
        <x:f>'후보_리서치'!U8</x:f>
        <x:v>https://www.youtube.com/@itsub/about</x:v>
      </x:c>
      <x:c r="J9" s="60" t="str">
        <x:v>미발송</x:v>
      </x:c>
    </x:row>
    <x:row r="10" ht="58" customHeight="1">
      <x:c r="A10" s="62" t="n">
        <x:f>'후보_리서치'!A9</x:f>
        <x:v>5</x:v>
      </x:c>
      <x:c r="B10" s="62" t="str">
        <x:f>'후보_리서치'!B9</x:f>
        <x:v>1차</x:v>
      </x:c>
      <x:c r="C10" s="60" t="str">
        <x:f>'후보_리서치'!C9</x:f>
        <x:v>귀곰</x:v>
      </x:c>
      <x:c r="D10" s="64" t="n">
        <x:f>'후보_리서치'!O9</x:f>
        <x:v>88</x:v>
      </x:c>
      <x:c r="E10" s="66" t="n">
        <x:f>'후보_리서치'!E9</x:f>
        <x:v>1140000</x:v>
      </x:c>
      <x:c r="F10" s="62" t="str">
        <x:f>'후보_리서치'!D9</x:f>
        <x:v>생활·제품리뷰</x:v>
      </x:c>
      <x:c r="G10" s="60" t="str">
        <x:f>'후보_리서치'!S9</x:f>
        <x:v>실구매·사용 질문이 많아 댓글 신호를 콘텐츠 기획과 제품 선정으로 연결하기 쉬운 초기 파일럿 후보.</x:v>
      </x:c>
      <x:c r="H10" s="60" t="str">
        <x:f>'후보_리서치'!T9</x:f>
        <x:v>최근 내돈내산 영상에서 구매질문과 장기사용 피드백을 묶어 다음 리뷰 후보로 정리해 제안.</x:v>
      </x:c>
      <x:c r="I10" s="60" t="str">
        <x:f>'후보_리서치'!U9</x:f>
        <x:v>https://www.youtube.com/@gwigom/about</x:v>
      </x:c>
      <x:c r="J10" s="60" t="str">
        <x:v>미발송</x:v>
      </x:c>
    </x:row>
    <x:row r="11" ht="58" customHeight="1">
      <x:c r="A11" s="62" t="n">
        <x:f>'후보_리서치'!A10</x:f>
        <x:v>6</x:v>
      </x:c>
      <x:c r="B11" s="62" t="str">
        <x:f>'후보_리서치'!B10</x:f>
        <x:v>2차</x:v>
      </x:c>
      <x:c r="C11" s="60" t="str">
        <x:f>'후보_리서치'!C10</x:f>
        <x:v>이연LEEYEON</x:v>
      </x:c>
      <x:c r="D11" s="64" t="n">
        <x:f>'후보_리서치'!O10</x:f>
        <x:v>86</x:v>
      </x:c>
      <x:c r="E11" s="66" t="n">
        <x:f>'후보_리서치'!E10</x:f>
        <x:v>940000</x:v>
      </x:c>
      <x:c r="F11" s="62" t="str">
        <x:f>'후보_리서치'!D10</x:f>
        <x:v>창작·라이프</x:v>
      </x:c>
      <x:c r="G11" s="60" t="str">
        <x:f>'후보_리서치'!S10</x:f>
        <x:v>댓글의 공감·고민·콘텐츠 아이디어 가치가 높고 개인 창작자 관점의 사용성 피드백을 받기 좋음.</x:v>
      </x:c>
      <x:c r="H11" s="60" t="str">
        <x:f>'후보_리서치'!T10</x:f>
        <x:v>공감댓글은 보존하고 위험댓글은 가린 채 반복 창작고민과 다음 주제 요청을 요약해 제안.</x:v>
      </x:c>
      <x:c r="I11" s="60" t="str">
        <x:f>'후보_리서치'!U10</x:f>
        <x:v>https://www.youtube.com/@leeyeon/about</x:v>
      </x:c>
      <x:c r="J11" s="60" t="str">
        <x:v>미발송</x:v>
      </x:c>
    </x:row>
    <x:row r="12" ht="58" customHeight="1">
      <x:c r="A12" s="62" t="n">
        <x:f>'후보_리서치'!A11</x:f>
        <x:v>7</x:v>
      </x:c>
      <x:c r="B12" s="62" t="str">
        <x:f>'후보_리서치'!B11</x:f>
        <x:v>2차</x:v>
      </x:c>
      <x:c r="C12" s="60" t="str">
        <x:f>'후보_리서치'!C11</x:f>
        <x:v>지식인사이드</x:v>
      </x:c>
      <x:c r="D12" s="64" t="n">
        <x:f>'후보_리서치'!O11</x:f>
        <x:v>85</x:v>
      </x:c>
      <x:c r="E12" s="66" t="n">
        <x:f>'후보_리서치'!E11</x:f>
        <x:v>3890000</x:v>
      </x:c>
      <x:c r="F12" s="62" t="str">
        <x:f>'후보_리서치'!D11</x:f>
        <x:v>인터뷰·지식</x:v>
      </x:c>
      <x:c r="G12" s="60" t="str">
        <x:f>'후보_리서치'!S11</x:f>
        <x:v>댓글 운영 필요도는 최상급이지만 대형 제작 조직일 가능성이 높아 2차 전략 계정으로 두는 편이 현실적.</x:v>
      </x:c>
      <x:c r="H12" s="60" t="str">
        <x:f>'후보_리서치'!T11</x:f>
        <x:v>전문가 인터뷰 1편의 후속질문과 다음 콘텐츠 요구를 요약한 샘플 리포트로 접근.</x:v>
      </x:c>
      <x:c r="I12" s="60" t="str">
        <x:f>'후보_리서치'!U11</x:f>
        <x:v>https://www.youtube.com/channel/UCA_hgsFzmynpv1zkvA5A7jA/about</x:v>
      </x:c>
      <x:c r="J12" s="60" t="str">
        <x:v>미발송</x:v>
      </x:c>
    </x:row>
    <x:row r="13" ht="58" customHeight="1">
      <x:c r="A13" s="62" t="n">
        <x:f>'후보_리서치'!A12</x:f>
        <x:v>8</x:v>
      </x:c>
      <x:c r="B13" s="62" t="str">
        <x:f>'후보_리서치'!B12</x:f>
        <x:v>2차</x:v>
      </x:c>
      <x:c r="C13" s="60" t="str">
        <x:f>'후보_리서치'!C12</x:f>
        <x:v>미미미누</x:v>
      </x:c>
      <x:c r="D13" s="64" t="n">
        <x:f>'후보_리서치'!O12</x:f>
        <x:v>81</x:v>
      </x:c>
      <x:c r="E13" s="66" t="n">
        <x:f>'후보_리서치'!E12</x:f>
        <x:v>1960000</x:v>
      </x:c>
      <x:c r="F13" s="62" t="str">
        <x:f>'후보_리서치'!D12</x:f>
        <x:v>교육·예능</x:v>
      </x:c>
      <x:c r="G13" s="60" t="str">
        <x:f>'후보_리서치'!S12</x:f>
        <x:v>댓글 운영 고통은 매우 크지만 쇼츠·예능 반응 비중이 높아 신호 추출 품질을 먼저 샘플로 증명해야 함.</x:v>
      </x:c>
      <x:c r="H13" s="60" t="str">
        <x:f>'후보_리서치'!T12</x:f>
        <x:v>학생 FAQ·콘텐츠 요청·스팸을 분리한 50댓글 샘플로 정확도를 먼저 보여주는 접근.</x:v>
      </x:c>
      <x:c r="I13" s="60" t="str">
        <x:f>'후보_리서치'!U12</x:f>
        <x:v>https://www.youtube.com/@mimiminu_official/about</x:v>
      </x:c>
      <x:c r="J13" s="60" t="str">
        <x:v>미발송</x:v>
      </x:c>
    </x:row>
    <x:row r="14" ht="58" customHeight="1">
      <x:c r="A14" s="62" t="n">
        <x:f>'후보_리서치'!A13</x:f>
        <x:v>9</x:v>
      </x:c>
      <x:c r="B14" s="62" t="str">
        <x:f>'후보_리서치'!B13</x:f>
        <x:v>2차</x:v>
      </x:c>
      <x:c r="C14" s="60" t="str">
        <x:f>'후보_리서치'!C13</x:f>
        <x:v>채코제 Channel Korean Jay</x:v>
      </x:c>
      <x:c r="D14" s="64" t="n">
        <x:f>'후보_리서치'!O13</x:f>
        <x:v>80</x:v>
      </x:c>
      <x:c r="E14" s="66" t="n">
        <x:f>'후보_리서치'!E13</x:f>
        <x:v>746000</x:v>
      </x:c>
      <x:c r="F14" s="62" t="str">
        <x:f>'후보_리서치'!D13</x:f>
        <x:v>여행·브이로그</x:v>
      </x:c>
      <x:c r="G14" s="60" t="str">
        <x:f>'후보_리서치'!S13</x:f>
        <x:v>여행 정보 수정과 후속 질문이 풍부하고 개인 브랜드 성격이 강해 제품 설명이 직관적임.</x:v>
      </x:c>
      <x:c r="H14" s="60" t="str">
        <x:f>'후보_리서치'!T13</x:f>
        <x:v>최근 여행 영상에서 비용·동선·안전 질문과 현지 정보 보완을 자동 정리한 샘플 제안.</x:v>
      </x:c>
      <x:c r="I14" s="60" t="str">
        <x:f>'후보_리서치'!U13</x:f>
        <x:v>https://www.youtube.com/channel/UCaoqDZPllYXLAH_5OBRLLrw/about</x:v>
      </x:c>
      <x:c r="J14" s="60" t="str">
        <x:v>미발송</x:v>
      </x:c>
    </x:row>
    <x:row r="15" ht="58" customHeight="1">
      <x:c r="A15" s="63" t="n">
        <x:f>'후보_리서치'!A14</x:f>
        <x:v>10</x:v>
      </x:c>
      <x:c r="B15" s="63" t="str">
        <x:f>'후보_리서치'!B14</x:f>
        <x:v>3차</x:v>
      </x:c>
      <x:c r="C15" s="61" t="str">
        <x:f>'후보_리서치'!C14</x:f>
        <x:v>조승연의 탐구생활</x:v>
      </x:c>
      <x:c r="D15" s="65" t="n">
        <x:f>'후보_리서치'!O14</x:f>
        <x:v>76</x:v>
      </x:c>
      <x:c r="E15" s="67" t="n">
        <x:f>'후보_리서치'!E14</x:f>
        <x:v>1950000</x:v>
      </x:c>
      <x:c r="F15" s="63" t="str">
        <x:f>'후보_리서치'!D14</x:f>
        <x:v>문화·지식</x:v>
      </x:c>
      <x:c r="G15" s="61" t="str">
        <x:f>'후보_리서치'!S14</x:f>
        <x:v>사실 보완과 다음 주제 신호의 질은 높지만 최근 조회 규모와 접근성을 감안해 3차로 배치.</x:v>
      </x:c>
      <x:c r="H15" s="61" t="str">
        <x:f>'후보_리서치'!T14</x:f>
        <x:v>문화·역사 영상의 사실보완·후속질문·다음 주제 요청을 분리한 샘플 제안.</x:v>
      </x:c>
      <x:c r="I15" s="61" t="str">
        <x:f>'후보_리서치'!U14</x:f>
        <x:v>https://www.youtube.com/@tamgu/about</x:v>
      </x:c>
      <x:c r="J15" s="61" t="str">
        <x:v>미발송</x:v>
      </x:c>
    </x:row>
  </x:sheetData>
  <x:mergeCells>
    <x:mergeCell ref="A1:J1"/>
    <x:mergeCell ref="A2:J2"/>
  </x:mergeCells>
  <x:conditionalFormatting sqref="D6:D15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{BA3CF3DD-DC4B-CA64-3DEA-46C6CCCAAB8D}</x14:id>
        </x:ext>
      </x:extLst>
    </x:cfRule>
  </x:conditionalFormatting>
  <x:conditionalFormatting sqref="B6:B15">
    <x:cfRule type="containsText" dxfId="3" priority="2" operator="containsText" text="1차"/>
    <x:cfRule type="containsText" dxfId="4" priority="3" operator="containsText" text="2차"/>
    <x:cfRule type="containsText" dxfId="5" priority="4" operator="containsText" text="3차"/>
  </x:conditionalFormatting>
  <x:conditionalFormatting sqref="J6:J15">
    <x:cfRule type="containsText" dxfId="6" priority="5" operator="containsText" text="답변"/>
  </x:conditionalFormatting>
  <x:dataValidations count="1">
    <x:dataValidation type="list" sqref="J6:J15">
      <x:formula1>"미발송,초안완료,발송,답변,미회신,제외"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A3CF3DD-DC4B-CA64-3DEA-46C6CCCAAB8D}">
            <x14:dataBar gradient="1">
              <x14:cfvo type="min"/>
              <x14:cfvo type="max"/>
              <x14:fillColor rgb="FF0F766E"/>
            </x14:dataBar>
          </x14:cfRule>
          <xm:sqref>D6:D15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26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34" hidden="0" customWidth="1"/>
    <x:col min="9" max="9" width="34" hidden="0" customWidth="1"/>
    <x:col min="10" max="10" width="3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34" hidden="0" customWidth="1"/>
    <x:col min="17" max="17" width="34" hidden="0" customWidth="1"/>
    <x:col min="18" max="18" width="14" hidden="0" customWidth="1"/>
    <x:col min="19" max="19" width="36" hidden="0" customWidth="1"/>
    <x:col min="20" max="20" width="36" hidden="0" customWidth="1"/>
    <x:col min="21" max="21" width="36" hidden="0" customWidth="1"/>
    <x:col min="22" max="22" width="36" hidden="0" customWidth="1"/>
  </x:cols>
  <x:sheetData>
    <x:row r="1" ht="34" customHeight="1">
      <x:c r="A1" s="3" t="str">
        <x:v>유튜버 후보 리서치 원자료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>
      <x:c r="A2" s="6" t="str">
        <x:v>공개 YouTube 채널과 2026년 6–7월 제3자 통계 스냅샷을 참고한 영업 후보입니다. 이메일 주소는 추측하지 않습니다.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</x:row>
    <x:row r="4" ht="38" customHeight="1">
      <x:c r="A4" s="25" t="str">
        <x:v>순위</x:v>
      </x:c>
      <x:c r="B4" s="25" t="str">
        <x:v>발송 웨이브</x:v>
      </x:c>
      <x:c r="C4" s="25" t="str">
        <x:v>채널명</x:v>
      </x:c>
      <x:c r="D4" s="25" t="str">
        <x:v>분야</x:v>
      </x:c>
      <x:c r="E4" s="25" t="str">
        <x:v>구독자수(추정)</x:v>
      </x:c>
      <x:c r="F4" s="25" t="str">
        <x:v>최근 30일 조회수(추정)</x:v>
      </x:c>
      <x:c r="G4" s="25" t="str">
        <x:v>영상수</x:v>
      </x:c>
      <x:c r="H4" s="25" t="str">
        <x:v>댓글에서 기대되는 신호</x:v>
      </x:c>
      <x:c r="I4" s="25" t="str">
        <x:v>운영 리스크/문제</x:v>
      </x:c>
      <x:c r="J4" s="25" t="str">
        <x:v>최근 활동 근거</x:v>
      </x:c>
      <x:c r="K4" s="25" t="str">
        <x:v>댓글 운영 필요도</x:v>
      </x:c>
      <x:c r="L4" s="25" t="str">
        <x:v>질문·피드백 가치</x:v>
      </x:c>
      <x:c r="M4" s="25" t="str">
        <x:v>최근 활동성</x:v>
      </x:c>
      <x:c r="N4" s="25" t="str">
        <x:v>접근 가능성</x:v>
      </x:c>
      <x:c r="O4" s="25" t="str">
        <x:v>종합점수</x:v>
      </x:c>
      <x:c r="P4" s="25" t="str">
        <x:v>공식 YouTube</x:v>
      </x:c>
      <x:c r="Q4" s="25" t="str">
        <x:v>통계 출처</x:v>
      </x:c>
      <x:c r="R4" s="25" t="str">
        <x:v>통계 기준일</x:v>
      </x:c>
      <x:c r="S4" s="25" t="str">
        <x:v>선정 근거</x:v>
      </x:c>
      <x:c r="T4" s="25" t="str">
        <x:v>첫 메일 제안 포인트</x:v>
      </x:c>
      <x:c r="U4" s="25" t="str">
        <x:v>공개 연락 경로</x:v>
      </x:c>
      <x:c r="V4" s="25" t="str">
        <x:v>내부 판단 주의사항</x:v>
      </x:c>
    </x:row>
    <x:row r="5" ht="66" customHeight="1">
      <x:c r="A5" s="32" t="n">
        <x:f>RANK(O5,$O$5:$O$14,0)</x:f>
        <x:v>1</x:v>
      </x:c>
      <x:c r="B5" s="32" t="str">
        <x:f>IF(O5&gt;=88,"1차",IF(O5&gt;=80,"2차","3차"))</x:f>
        <x:v>1차</x:v>
      </x:c>
      <x:c r="C5" s="30" t="str">
        <x:v>안될과학 Unrealscience</x:v>
      </x:c>
      <x:c r="D5" s="30" t="str">
        <x:v>과학·지식</x:v>
      </x:c>
      <x:c r="E5" s="34" t="n">
        <x:v>1390000</x:v>
      </x:c>
      <x:c r="F5" s="34" t="n">
        <x:v>11050000</x:v>
      </x:c>
      <x:c r="G5" s="34" t="n">
        <x:v>2890</x:v>
      </x:c>
      <x:c r="H5" s="30" t="str">
        <x:v>과학 질문, 사실관계 보완, 다음 주제 요청, 전문가 설명에 대한 후속 질문</x:v>
      </x:c>
      <x:c r="I5" s="30" t="str">
        <x:v>업로드와 댓글 규모가 크고 과학 논쟁·오정보 교정이 섞여 검토 비용이 높음</x:v>
      </x:c>
      <x:c r="J5" s="30" t="str">
        <x:v>2026-06-16 기준 2.89K 영상, 최근 30일 약 11.05M 조회; 2026년 장·단편 업로드 모두 활발</x:v>
      </x:c>
      <x:c r="K5" s="36" t="n">
        <x:v>5</x:v>
      </x:c>
      <x:c r="L5" s="36" t="n">
        <x:v>5</x:v>
      </x:c>
      <x:c r="M5" s="36" t="n">
        <x:v>5</x:v>
      </x:c>
      <x:c r="N5" s="38" t="n">
        <x:v>4</x:v>
      </x:c>
      <x:c r="O5" s="36" t="n">
        <x:f>ROUND((K5*'점수기준'!$B$5+L5*'점수기준'!$B$6+M5*'점수기준'!$B$7+N5*'점수기준'!$B$8)*20,0)</x:f>
        <x:v>95</x:v>
      </x:c>
      <x:c r="P5" s="30" t="str">
        <x:v>https://www.youtube.com/@unrealscience</x:v>
      </x:c>
      <x:c r="Q5" s="30" t="str">
        <x:v>https://vidiq.com/youtube-stats/channel/UCMc4EmuDxnHPc6pgGW-QWvQ/</x:v>
      </x:c>
      <x:c r="R5" s="40" t="n">
        <x:v>46189</x:v>
      </x:c>
      <x:c r="S5" s="30" t="str">
        <x:v>댓글량·업로드 빈도·질문 밀도가 모두 높아 CrowdSift의 Q&amp;A/피드백 분류 효과를 빠르게 입증하기 좋음.</x:v>
      </x:c>
      <x:c r="T5" s="30" t="str">
        <x:v>최근 영상 1개의 공개 댓글 50개를 질문·사실보완·위험댓글로 나눈 무료 진단을 먼저 제안.</x:v>
      </x:c>
      <x:c r="U5" s="30" t="str">
        <x:v>https://www.youtube.com/@unrealscience/about</x:v>
      </x:c>
      <x:c r="V5" s="30" t="str">
        <x:v>조직 운영 채널일 수 있어 담당자 확인 필요. 공개 비즈니스 이메일 외 주소는 사용하지 않음.</x:v>
      </x:c>
    </x:row>
    <x:row r="6" ht="66" customHeight="1">
      <x:c r="A6" s="32" t="n">
        <x:f>RANK(O6,$O$5:$O$14,0)</x:f>
        <x:v>2</x:v>
      </x:c>
      <x:c r="B6" s="32" t="str">
        <x:f>IF(O6&gt;=88,"1차",IF(O6&gt;=80,"2차","3차"))</x:f>
        <x:v>1차</x:v>
      </x:c>
      <x:c r="C6" s="30" t="str">
        <x:v>디에디트 THE EDIT</x:v>
      </x:c>
      <x:c r="D6" s="30" t="str">
        <x:v>테크·제품리뷰</x:v>
      </x:c>
      <x:c r="E6" s="34" t="n">
        <x:v>590000</x:v>
      </x:c>
      <x:c r="F6" s="34" t="n">
        <x:v>3110000</x:v>
      </x:c>
      <x:c r="G6" s="34" t="n">
        <x:v>1470</x:v>
      </x:c>
      <x:c r="H6" s="30" t="str">
        <x:v>구매 전 질문, 제품 비교, 장기 사용 후기, 오류·호환성 제보, 다음 리뷰 요청</x:v>
      </x:c>
      <x:c r="I6" s="30" t="str">
        <x:v>제품명·모델별 반복 질문이 흩어지고 협찬/광고 관련 민감한 반응이 섞일 수 있음</x:v>
      </x:c>
      <x:c r="J6" s="30" t="str">
        <x:v>2026-07-21 기준 1.47K 영상, 최근 30일 약 3.11M 조회, 구독자 590K</x:v>
      </x:c>
      <x:c r="K6" s="36" t="n">
        <x:v>4</x:v>
      </x:c>
      <x:c r="L6" s="36" t="n">
        <x:v>5</x:v>
      </x:c>
      <x:c r="M6" s="36" t="n">
        <x:v>5</x:v>
      </x:c>
      <x:c r="N6" s="38" t="n">
        <x:v>5</x:v>
      </x:c>
      <x:c r="O6" s="36" t="n">
        <x:f>ROUND((K6*'점수기준'!$B$5+L6*'점수기준'!$B$6+M6*'점수기준'!$B$7+N6*'점수기준'!$B$8)*20,0)</x:f>
        <x:v>94</x:v>
      </x:c>
      <x:c r="P6" s="30" t="str">
        <x:v>https://www.youtube.com/@the-edit</x:v>
      </x:c>
      <x:c r="Q6" s="30" t="str">
        <x:v>https://vidiq.com/youtube-stats/channel/%40the-edit/</x:v>
      </x:c>
      <x:c r="R6" s="40" t="n">
        <x:v>46224</x:v>
      </x:c>
      <x:c r="S6" s="30" t="str">
        <x:v>제품별 질문과 실사용 피드백이 다음 콘텐츠 및 커머스 판단으로 직접 연결되어 초기 가치 제시가 명확함.</x:v>
      </x:c>
      <x:c r="T6" s="30" t="str">
        <x:v>리뷰 영상 댓글에서 구매질문·호환성·불량제보를 자동 묶어주는 20분 파일럿 제안.</x:v>
      </x:c>
      <x:c r="U6" s="30" t="str">
        <x:v>https://www.youtube.com/@the-edit/about</x:v>
      </x:c>
      <x:c r="V6" s="30" t="str">
        <x:v>브랜드/광고 관련 댓글은 일반 반응과 분리해 보여준다는 점을 강조.</x:v>
      </x:c>
    </x:row>
    <x:row r="7" ht="66" customHeight="1">
      <x:c r="A7" s="32" t="n">
        <x:f>RANK(O7,$O$5:$O$14,0)</x:f>
        <x:v>3</x:v>
      </x:c>
      <x:c r="B7" s="32" t="str">
        <x:f>IF(O7&gt;=88,"1차",IF(O7&gt;=80,"2차","3차"))</x:f>
        <x:v>1차</x:v>
      </x:c>
      <x:c r="C7" s="30" t="str">
        <x:v>닥터프렌즈</x:v>
      </x:c>
      <x:c r="D7" s="30" t="str">
        <x:v>의학·건강</x:v>
      </x:c>
      <x:c r="E7" s="34" t="n">
        <x:v>1420000</x:v>
      </x:c>
      <x:c r="F7" s="34" t="n">
        <x:v>3330000</x:v>
      </x:c>
      <x:c r="G7" s="34" t="n">
        <x:v>1520</x:v>
      </x:c>
      <x:c r="H7" s="30" t="str">
        <x:v>건강 질문, 잘못된 정보 보완, 개인 경험, 반복 증상 질문, 후속 주제 요청</x:v>
      </x:c>
      <x:c r="I7" s="30" t="str">
        <x:v>민감한 건강 서술과 오정보·공격성 댓글을 직접 읽는 부담이 크며 답변 경계가 중요</x:v>
      </x:c>
      <x:c r="J7" s="30" t="str">
        <x:v>2026-07-21 기준 1.52K 영상, 최근 30일 약 3.33M 조회, 구독자 1.42M</x:v>
      </x:c>
      <x:c r="K7" s="36" t="n">
        <x:v>5</x:v>
      </x:c>
      <x:c r="L7" s="36" t="n">
        <x:v>5</x:v>
      </x:c>
      <x:c r="M7" s="36" t="n">
        <x:v>4</x:v>
      </x:c>
      <x:c r="N7" s="38" t="n">
        <x:v>4</x:v>
      </x:c>
      <x:c r="O7" s="36" t="n">
        <x:f>ROUND((K7*'점수기준'!$B$5+L7*'점수기준'!$B$6+M7*'점수기준'!$B$7+N7*'점수기준'!$B$8)*20,0)</x:f>
        <x:v>91</x:v>
      </x:c>
      <x:c r="P7" s="30" t="str">
        <x:v>https://www.youtube.com/channel/UCVfLNEch9YxD4tX1L-crkMQ</x:v>
      </x:c>
      <x:c r="Q7" s="30" t="str">
        <x:v>https://vidiq.com/youtube-stats/channel/UCVfLNEch9YxD4tX1L-crkMQ/</x:v>
      </x:c>
      <x:c r="R7" s="40" t="n">
        <x:v>46224</x:v>
      </x:c>
      <x:c r="S7" s="30" t="str">
        <x:v>유용한 질문과 민감·위험 댓글이 동시에 존재하는 영역이라 안전하게 가리고 신호를 살리는 차별점이 큼.</x:v>
      </x:c>
      <x:c r="T7" s="30" t="str">
        <x:v>위험 원문은 가린 채 반복 건강질문과 오정보 보완 댓글만 먼저 보여주는 안전 데모 제안.</x:v>
      </x:c>
      <x:c r="U7" s="30" t="str">
        <x:v>https://www.youtube.com/channel/UCVfLNEch9YxD4tX1L-crkMQ/about</x:v>
      </x:c>
      <x:c r="V7" s="30" t="str">
        <x:v>의료 조언 도구가 아니라 댓글 운영·분류 도구라는 점을 명확히 해야 함.</x:v>
      </x:c>
    </x:row>
    <x:row r="8" ht="66" customHeight="1">
      <x:c r="A8" s="32" t="n">
        <x:f>RANK(O8,$O$5:$O$14,0)</x:f>
        <x:v>4</x:v>
      </x:c>
      <x:c r="B8" s="32" t="str">
        <x:f>IF(O8&gt;=88,"1차",IF(O8&gt;=80,"2차","3차"))</x:f>
        <x:v>1차</x:v>
      </x:c>
      <x:c r="C8" s="30" t="str">
        <x:v>ITSub잇섭</x:v>
      </x:c>
      <x:c r="D8" s="30" t="str">
        <x:v>테크·제품리뷰</x:v>
      </x:c>
      <x:c r="E8" s="34" t="n">
        <x:v>2830000</x:v>
      </x:c>
      <x:c r="F8" s="34" t="n">
        <x:v>10620000</x:v>
      </x:c>
      <x:c r="G8" s="34" t="n">
        <x:v>1560</x:v>
      </x:c>
      <x:c r="H8" s="30" t="str">
        <x:v>구매 질문, 기기 호환성, 초기 불량·버그 제보, 통신/요금제 경험, 비교 요청</x:v>
      </x:c>
      <x:c r="I8" s="30" t="str">
        <x:v>신제품 출시 때 댓글이 급증하고 모델·통신사별 유사 질문이 반복됨</x:v>
      </x:c>
      <x:c r="J8" s="30" t="str">
        <x:v>2026-07-16 기준 1.56K 영상, 최근 30일 약 10.62M 조회, 구독자 2.83M</x:v>
      </x:c>
      <x:c r="K8" s="36" t="n">
        <x:v>5</x:v>
      </x:c>
      <x:c r="L8" s="36" t="n">
        <x:v>5</x:v>
      </x:c>
      <x:c r="M8" s="36" t="n">
        <x:v>5</x:v>
      </x:c>
      <x:c r="N8" s="38" t="n">
        <x:v>3</x:v>
      </x:c>
      <x:c r="O8" s="36" t="n">
        <x:f>ROUND((K8*'점수기준'!$B$5+L8*'점수기준'!$B$6+M8*'점수기준'!$B$7+N8*'점수기준'!$B$8)*20,0)</x:f>
        <x:v>90</x:v>
      </x:c>
      <x:c r="P8" s="30" t="str">
        <x:v>https://www.youtube.com/@itsub</x:v>
      </x:c>
      <x:c r="Q8" s="30" t="str">
        <x:v>https://vidiq.com/youtube-stats/channel/UCdUcjkyZtf-1WJyPPiETF1g/</x:v>
      </x:c>
      <x:c r="R8" s="40" t="n">
        <x:v>46219</x:v>
      </x:c>
      <x:c r="S8" s="30" t="str">
        <x:v>신제품마다 반복 질문과 실사용 제보가 폭증해 자동 묶음·우선순위화의 정량 효과가 클 가능성이 높음.</x:v>
      </x:c>
      <x:c r="T8" s="30" t="str">
        <x:v>신제품 영상 1개에서 호환성·불량·구매질문 TOP 5를 뽑는 파일럿을 제안.</x:v>
      </x:c>
      <x:c r="U8" s="30" t="str">
        <x:v>https://www.youtube.com/@itsub/about</x:v>
      </x:c>
      <x:c r="V8" s="30" t="str">
        <x:v>대형 채널이라 의사결정자가 분리되어 있을 수 있음. 짧은 결과물 중심으로 접근.</x:v>
      </x:c>
    </x:row>
    <x:row r="9" ht="66" customHeight="1">
      <x:c r="A9" s="32" t="n">
        <x:f>RANK(O9,$O$5:$O$14,0)</x:f>
        <x:v>5</x:v>
      </x:c>
      <x:c r="B9" s="32" t="str">
        <x:f>IF(O9&gt;=88,"1차",IF(O9&gt;=80,"2차","3차"))</x:f>
        <x:v>1차</x:v>
      </x:c>
      <x:c r="C9" s="30" t="str">
        <x:v>귀곰</x:v>
      </x:c>
      <x:c r="D9" s="30" t="str">
        <x:v>생활·제품리뷰</x:v>
      </x:c>
      <x:c r="E9" s="34" t="n">
        <x:v>1140000</x:v>
      </x:c>
      <x:c r="F9" s="34" t="n">
        <x:v>2530000</x:v>
      </x:c>
      <x:c r="G9" s="34" t="n">
        <x:v>406</x:v>
      </x:c>
      <x:c r="H9" s="30" t="str">
        <x:v>사용법 질문, 실제 구매 후기, 대체품 비교, 제품 하자·장단점, 다음 리뷰 요청</x:v>
      </x:c>
      <x:c r="I9" s="30" t="str">
        <x:v>구매 의도 댓글과 광고성·스팸·감정적 반응을 함께 선별해야 함</x:v>
      </x:c>
      <x:c r="J9" s="30" t="str">
        <x:v>2026-07-17 기준 406 영상, 최근 30일 약 2.53M 조회, 구독자 1.14M</x:v>
      </x:c>
      <x:c r="K9" s="36" t="n">
        <x:v>4</x:v>
      </x:c>
      <x:c r="L9" s="36" t="n">
        <x:v>5</x:v>
      </x:c>
      <x:c r="M9" s="36" t="n">
        <x:v>4</x:v>
      </x:c>
      <x:c r="N9" s="38" t="n">
        <x:v>4.5</x:v>
      </x:c>
      <x:c r="O9" s="36" t="n">
        <x:f>ROUND((K9*'점수기준'!$B$5+L9*'점수기준'!$B$6+M9*'점수기준'!$B$7+N9*'점수기준'!$B$8)*20,0)</x:f>
        <x:v>88</x:v>
      </x:c>
      <x:c r="P9" s="30" t="str">
        <x:v>https://www.youtube.com/@gwigom</x:v>
      </x:c>
      <x:c r="Q9" s="30" t="str">
        <x:v>https://vidiq.com/youtube-stats/channel/%40gwigom/</x:v>
      </x:c>
      <x:c r="R9" s="40" t="n">
        <x:v>46220</x:v>
      </x:c>
      <x:c r="S9" s="30" t="str">
        <x:v>실구매·사용 질문이 많아 댓글 신호를 콘텐츠 기획과 제품 선정으로 연결하기 쉬운 초기 파일럿 후보.</x:v>
      </x:c>
      <x:c r="T9" s="30" t="str">
        <x:v>최근 내돈내산 영상에서 구매질문과 장기사용 피드백을 묶어 다음 리뷰 후보로 정리해 제안.</x:v>
      </x:c>
      <x:c r="U9" s="30" t="str">
        <x:v>https://www.youtube.com/@gwigom/about</x:v>
      </x:c>
      <x:c r="V9" s="30" t="str">
        <x:v>댓글량 자체보다 구매의도·후속질문의 질을 중심으로 성과를 제시.</x:v>
      </x:c>
    </x:row>
    <x:row r="10" ht="66" customHeight="1">
      <x:c r="A10" s="32" t="n">
        <x:f>RANK(O10,$O$5:$O$14,0)</x:f>
        <x:v>6</x:v>
      </x:c>
      <x:c r="B10" s="32" t="str">
        <x:f>IF(O10&gt;=88,"1차",IF(O10&gt;=80,"2차","3차"))</x:f>
        <x:v>2차</x:v>
      </x:c>
      <x:c r="C10" s="30" t="str">
        <x:v>이연LEEYEON</x:v>
      </x:c>
      <x:c r="D10" s="30" t="str">
        <x:v>창작·라이프</x:v>
      </x:c>
      <x:c r="E10" s="34" t="n">
        <x:v>940000</x:v>
      </x:c>
      <x:c r="F10" s="34"/>
      <x:c r="G10" s="34" t="n">
        <x:v>814</x:v>
      </x:c>
      <x:c r="H10" s="30" t="str">
        <x:v>창작 고민, 개인 경험, 공감 피드백, 반복 질문, 다음 이야기 요청</x:v>
      </x:c>
      <x:c r="I10" s="30" t="str">
        <x:v>정서적으로 무거운 개인 서사와 공격적 반응을 분리해 안전하게 보여줄 필요</x:v>
      </x:c>
      <x:c r="J10" s="30" t="str">
        <x:v>2026-06-25 기준 814 영상, 구독자 940K; 장기간 꾸준히 창작·생활 주제 운영</x:v>
      </x:c>
      <x:c r="K10" s="36" t="n">
        <x:v>4</x:v>
      </x:c>
      <x:c r="L10" s="36" t="n">
        <x:v>5</x:v>
      </x:c>
      <x:c r="M10" s="36" t="n">
        <x:v>3</x:v>
      </x:c>
      <x:c r="N10" s="38" t="n">
        <x:v>5</x:v>
      </x:c>
      <x:c r="O10" s="36" t="n">
        <x:f>ROUND((K10*'점수기준'!$B$5+L10*'점수기준'!$B$6+M10*'점수기준'!$B$7+N10*'점수기준'!$B$8)*20,0)</x:f>
        <x:v>86</x:v>
      </x:c>
      <x:c r="P10" s="30" t="str">
        <x:v>https://www.youtube.com/@leeyeon</x:v>
      </x:c>
      <x:c r="Q10" s="30" t="str">
        <x:v>https://vidiq.com/youtube-stats/channel/UCKw7Jsu2cMU_D4yK8VMms1Q/</x:v>
      </x:c>
      <x:c r="R10" s="40" t="n">
        <x:v>46198</x:v>
      </x:c>
      <x:c r="S10" s="30" t="str">
        <x:v>댓글의 공감·고민·콘텐츠 아이디어 가치가 높고 개인 창작자 관점의 사용성 피드백을 받기 좋음.</x:v>
      </x:c>
      <x:c r="T10" s="30" t="str">
        <x:v>공감댓글은 보존하고 위험댓글은 가린 채 반복 창작고민과 다음 주제 요청을 요약해 제안.</x:v>
      </x:c>
      <x:c r="U10" s="30" t="str">
        <x:v>https://www.youtube.com/@leeyeon/about</x:v>
      </x:c>
      <x:c r="V10" s="30" t="str">
        <x:v>최근 30일 조회수는 이번 공개 소스에서 확인하지 못해 발송 전 재확인 필요.</x:v>
      </x:c>
    </x:row>
    <x:row r="11" ht="66" customHeight="1">
      <x:c r="A11" s="32" t="n">
        <x:f>RANK(O11,$O$5:$O$14,0)</x:f>
        <x:v>7</x:v>
      </x:c>
      <x:c r="B11" s="32" t="str">
        <x:f>IF(O11&gt;=88,"1차",IF(O11&gt;=80,"2차","3차"))</x:f>
        <x:v>2차</x:v>
      </x:c>
      <x:c r="C11" s="30" t="str">
        <x:v>지식인사이드</x:v>
      </x:c>
      <x:c r="D11" s="30" t="str">
        <x:v>인터뷰·지식</x:v>
      </x:c>
      <x:c r="E11" s="34" t="n">
        <x:v>3890000</x:v>
      </x:c>
      <x:c r="F11" s="34" t="n">
        <x:v>34670000</x:v>
      </x:c>
      <x:c r="G11" s="34" t="n">
        <x:v>1350</x:v>
      </x:c>
      <x:c r="H11" s="30" t="str">
        <x:v>전문가 후속 질문, 사실관계 보완, 개인 사례, 다음 출연자·주제 요청</x:v>
      </x:c>
      <x:c r="I11" s="30" t="str">
        <x:v>영상과 댓글 규모가 매우 커 수작업 검토가 사실상 어렵고 주제별 논쟁도 빈번할 수 있음</x:v>
      </x:c>
      <x:c r="J11" s="30" t="str">
        <x:v>2026-06-17 기준 1.35K 영상, 최근 30일 약 34.67M 조회, 구독자 3.89M</x:v>
      </x:c>
      <x:c r="K11" s="36" t="n">
        <x:v>5</x:v>
      </x:c>
      <x:c r="L11" s="36" t="n">
        <x:v>5</x:v>
      </x:c>
      <x:c r="M11" s="36" t="n">
        <x:v>5</x:v>
      </x:c>
      <x:c r="N11" s="38" t="n">
        <x:v>2</x:v>
      </x:c>
      <x:c r="O11" s="36" t="n">
        <x:f>ROUND((K11*'점수기준'!$B$5+L11*'점수기준'!$B$6+M11*'점수기준'!$B$7+N11*'점수기준'!$B$8)*20,0)</x:f>
        <x:v>85</x:v>
      </x:c>
      <x:c r="P11" s="30" t="str">
        <x:v>https://www.youtube.com/channel/UCA_hgsFzmynpv1zkvA5A7jA</x:v>
      </x:c>
      <x:c r="Q11" s="30" t="str">
        <x:v>https://vidiq.com/youtube-stats/channel/UCA_hgsFzmynpv1zkvA5A7jA/</x:v>
      </x:c>
      <x:c r="R11" s="40" t="n">
        <x:v>46190</x:v>
      </x:c>
      <x:c r="S11" s="30" t="str">
        <x:v>댓글 운영 필요도는 최상급이지만 대형 제작 조직일 가능성이 높아 2차 전략 계정으로 두는 편이 현실적.</x:v>
      </x:c>
      <x:c r="T11" s="30" t="str">
        <x:v>전문가 인터뷰 1편의 후속질문과 다음 콘텐츠 요구를 요약한 샘플 리포트로 접근.</x:v>
      </x:c>
      <x:c r="U11" s="30" t="str">
        <x:v>https://www.youtube.com/channel/UCA_hgsFzmynpv1zkvA5A7jA/about</x:v>
      </x:c>
      <x:c r="V11" s="30" t="str">
        <x:v>규모가 커서 일반 콜드메일보다 소개·파트너십 경로가 유리할 수 있음.</x:v>
      </x:c>
    </x:row>
    <x:row r="12" ht="66" customHeight="1">
      <x:c r="A12" s="32" t="n">
        <x:f>RANK(O12,$O$5:$O$14,0)</x:f>
        <x:v>8</x:v>
      </x:c>
      <x:c r="B12" s="32" t="str">
        <x:f>IF(O12&gt;=88,"1차",IF(O12&gt;=80,"2차","3차"))</x:f>
        <x:v>2차</x:v>
      </x:c>
      <x:c r="C12" s="30" t="str">
        <x:v>미미미누</x:v>
      </x:c>
      <x:c r="D12" s="30" t="str">
        <x:v>교육·예능</x:v>
      </x:c>
      <x:c r="E12" s="34" t="n">
        <x:v>1960000</x:v>
      </x:c>
      <x:c r="F12" s="34" t="n">
        <x:v>70610000</x:v>
      </x:c>
      <x:c r="G12" s="34" t="n">
        <x:v>2500</x:v>
      </x:c>
      <x:c r="H12" s="30" t="str">
        <x:v>학생 질문, 입시·학습 경험, 출연 요청, 밈·반응, 반복 FAQ</x:v>
      </x:c>
      <x:c r="I12" s="30" t="str">
        <x:v>젊은 시청자 중심의 빠른 댓글과 쇼츠 반응에서 스팸·조롱·공격성이 섞일 가능성</x:v>
      </x:c>
      <x:c r="J12" s="30" t="str">
        <x:v>2026-06-22 기준 2.50K 영상, 최근 30일 약 70.61M 조회, 구독자 1.96M</x:v>
      </x:c>
      <x:c r="K12" s="36" t="n">
        <x:v>5</x:v>
      </x:c>
      <x:c r="L12" s="36" t="n">
        <x:v>4</x:v>
      </x:c>
      <x:c r="M12" s="36" t="n">
        <x:v>4</x:v>
      </x:c>
      <x:c r="N12" s="38" t="n">
        <x:v>3</x:v>
      </x:c>
      <x:c r="O12" s="36" t="n">
        <x:f>ROUND((K12*'점수기준'!$B$5+L12*'점수기준'!$B$6+M12*'점수기준'!$B$7+N12*'점수기준'!$B$8)*20,0)</x:f>
        <x:v>81</x:v>
      </x:c>
      <x:c r="P12" s="30" t="str">
        <x:v>https://www.youtube.com/@mimiminu_official</x:v>
      </x:c>
      <x:c r="Q12" s="30" t="str">
        <x:v>https://vidiq.com/youtube-stats/channel/%40mimiminu_official/</x:v>
      </x:c>
      <x:c r="R12" s="40" t="n">
        <x:v>46195</x:v>
      </x:c>
      <x:c r="S12" s="30" t="str">
        <x:v>댓글 운영 고통은 매우 크지만 쇼츠·예능 반응 비중이 높아 신호 추출 품질을 먼저 샘플로 증명해야 함.</x:v>
      </x:c>
      <x:c r="T12" s="30" t="str">
        <x:v>학생 FAQ·콘텐츠 요청·스팸을 분리한 50댓글 샘플로 정확도를 먼저 보여주는 접근.</x:v>
      </x:c>
      <x:c r="U12" s="30" t="str">
        <x:v>https://www.youtube.com/@mimiminu_official/about</x:v>
      </x:c>
      <x:c r="V12" s="30" t="str">
        <x:v>대형 채널이며 댓글 속 밈 문맥이 강해 분류 오류 사례를 함께 공개하는 것이 신뢰에 유리.</x:v>
      </x:c>
    </x:row>
    <x:row r="13" ht="66" customHeight="1">
      <x:c r="A13" s="32" t="n">
        <x:f>RANK(O13,$O$5:$O$14,0)</x:f>
        <x:v>9</x:v>
      </x:c>
      <x:c r="B13" s="32" t="str">
        <x:f>IF(O13&gt;=88,"1차",IF(O13&gt;=80,"2차","3차"))</x:f>
        <x:v>2차</x:v>
      </x:c>
      <x:c r="C13" s="30" t="str">
        <x:v>채코제 Channel Korean Jay</x:v>
      </x:c>
      <x:c r="D13" s="30" t="str">
        <x:v>여행·브이로그</x:v>
      </x:c>
      <x:c r="E13" s="34" t="n">
        <x:v>746000</x:v>
      </x:c>
      <x:c r="F13" s="34"/>
      <x:c r="G13" s="34" t="n">
        <x:v>452</x:v>
      </x:c>
      <x:c r="H13" s="30" t="str">
        <x:v>여행지 정보 보완, 비용·동선 질문, 현지 경험, 안전 제보, 다음 목적지 요청</x:v>
      </x:c>
      <x:c r="I13" s="30" t="str">
        <x:v>국가·문화 관련 논쟁과 인신공격, 반복 여행 질문이 섞일 수 있음</x:v>
      </x:c>
      <x:c r="J13" s="30" t="str">
        <x:v>2026-06-22 기준 구독자 약 746K·452 영상; 2026년 장편 영상도 지속 업로드</x:v>
      </x:c>
      <x:c r="K13" s="36" t="n">
        <x:v>4</x:v>
      </x:c>
      <x:c r="L13" s="36" t="n">
        <x:v>4</x:v>
      </x:c>
      <x:c r="M13" s="36" t="n">
        <x:v>4</x:v>
      </x:c>
      <x:c r="N13" s="38" t="n">
        <x:v>4</x:v>
      </x:c>
      <x:c r="O13" s="36" t="n">
        <x:f>ROUND((K13*'점수기준'!$B$5+L13*'점수기준'!$B$6+M13*'점수기준'!$B$7+N13*'점수기준'!$B$8)*20,0)</x:f>
        <x:v>80</x:v>
      </x:c>
      <x:c r="P13" s="30" t="str">
        <x:v>https://www.youtube.com/channel/UCaoqDZPllYXLAH_5OBRLLrw</x:v>
      </x:c>
      <x:c r="Q13" s="30" t="str">
        <x:v>https://socialcounts.org/youtube-channel-analytics/UCaoqDZPllYXLAH_5OBRLLrw</x:v>
      </x:c>
      <x:c r="R13" s="40" t="n">
        <x:v>46195</x:v>
      </x:c>
      <x:c r="S13" s="30" t="str">
        <x:v>여행 정보 수정과 후속 질문이 풍부하고 개인 브랜드 성격이 강해 제품 설명이 직관적임.</x:v>
      </x:c>
      <x:c r="T13" s="30" t="str">
        <x:v>최근 여행 영상에서 비용·동선·안전 질문과 현지 정보 보완을 자동 정리한 샘플 제안.</x:v>
      </x:c>
      <x:c r="U13" s="30" t="str">
        <x:v>https://www.youtube.com/channel/UCaoqDZPllYXLAH_5OBRLLrw/about</x:v>
      </x:c>
      <x:c r="V13" s="30" t="str">
        <x:v>최근 30일 조회수는 이번 공개 소스에서 확인하지 못해 발송 전 재확인 필요.</x:v>
      </x:c>
    </x:row>
    <x:row r="14" ht="66" customHeight="1">
      <x:c r="A14" s="33" t="n">
        <x:f>RANK(O14,$O$5:$O$14,0)</x:f>
        <x:v>10</x:v>
      </x:c>
      <x:c r="B14" s="33" t="str">
        <x:f>IF(O14&gt;=88,"1차",IF(O14&gt;=80,"2차","3차"))</x:f>
        <x:v>3차</x:v>
      </x:c>
      <x:c r="C14" s="31" t="str">
        <x:v>조승연의 탐구생활</x:v>
      </x:c>
      <x:c r="D14" s="31" t="str">
        <x:v>문화·지식</x:v>
      </x:c>
      <x:c r="E14" s="35" t="n">
        <x:v>1950000</x:v>
      </x:c>
      <x:c r="F14" s="35" t="n">
        <x:v>1800000</x:v>
      </x:c>
      <x:c r="G14" s="35" t="n">
        <x:v>793</x:v>
      </x:c>
      <x:c r="H14" s="31" t="str">
        <x:v>문화·역사 사실 보완, 토론, 후속 질문, 다음 국가·주제 요청</x:v>
      </x:c>
      <x:c r="I14" s="31" t="str">
        <x:v>문화·국가 비교 주제의 논쟁성 댓글과 정교한 사실 보완을 함께 분류해야 함</x:v>
      </x:c>
      <x:c r="J14" s="31" t="str">
        <x:v>2026-07-25 기준 793 영상, 최근 30일 약 1.80M 조회, 구독자 1.95M</x:v>
      </x:c>
      <x:c r="K14" s="37" t="n">
        <x:v>4</x:v>
      </x:c>
      <x:c r="L14" s="37" t="n">
        <x:v>5</x:v>
      </x:c>
      <x:c r="M14" s="37" t="n">
        <x:v>3</x:v>
      </x:c>
      <x:c r="N14" s="39" t="n">
        <x:v>3</x:v>
      </x:c>
      <x:c r="O14" s="37" t="n">
        <x:f>ROUND((K14*'점수기준'!$B$5+L14*'점수기준'!$B$6+M14*'점수기준'!$B$7+N14*'점수기준'!$B$8)*20,0)</x:f>
        <x:v>76</x:v>
      </x:c>
      <x:c r="P14" s="31" t="str">
        <x:v>https://www.youtube.com/@tamgu</x:v>
      </x:c>
      <x:c r="Q14" s="31" t="str">
        <x:v>https://vidiq.com/youtube-stats/channel/%40tamgu/</x:v>
      </x:c>
      <x:c r="R14" s="41" t="n">
        <x:v>46228</x:v>
      </x:c>
      <x:c r="S14" s="31" t="str">
        <x:v>사실 보완과 다음 주제 신호의 질은 높지만 최근 조회 규모와 접근성을 감안해 3차로 배치.</x:v>
      </x:c>
      <x:c r="T14" s="31" t="str">
        <x:v>문화·역사 영상의 사실보완·후속질문·다음 주제 요청을 분리한 샘플 제안.</x:v>
      </x:c>
      <x:c r="U14" s="31" t="str">
        <x:v>https://www.youtube.com/@tamgu/about</x:v>
      </x:c>
      <x:c r="V14" s="31" t="str">
        <x:v>논쟁 댓글을 단순 악성으로 처리하지 않고 유해하지만 참고할 신호로 분리한다는 점을 강조.</x:v>
      </x:c>
    </x:row>
  </x:sheetData>
  <x:mergeCells>
    <x:mergeCell ref="A1:V1"/>
    <x:mergeCell ref="A2:V2"/>
  </x:mergeCells>
  <x:conditionalFormatting sqref="O5:O14">
    <x:cfRule type="colorScale" priority="1">
      <x:colorScale>
        <x:cfvo type="min"/>
        <x:cfvo type="percentile" val="50"/>
        <x:cfvo type="max"/>
        <x:color rgb="FFFCA5A5"/>
        <x:color rgb="FFFDE68A"/>
        <x:color rgb="FF86EFAC"/>
      </x:colorScale>
    </x:cfRule>
  </x:conditionalFormatting>
  <x:conditionalFormatting sqref="B5:B14">
    <x:cfRule type="containsText" dxfId="0" priority="2" operator="containsText" text="1차"/>
    <x:cfRule type="containsText" dxfId="1" priority="3" operator="containsText" text="2차"/>
    <x:cfRule type="containsText" dxfId="2" priority="4" operator="containsText" text="3차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" hidden="0" customWidth="1"/>
    <x:col min="3" max="3" width="11" hidden="0" customWidth="1"/>
    <x:col min="4" max="4" width="11" hidden="0" customWidth="1"/>
    <x:col min="5" max="5" width="42" hidden="0" customWidth="1"/>
    <x:col min="6" max="6" width="32" hidden="0" customWidth="1"/>
    <x:col min="7" max="7" width="15" hidden="0" customWidth="1"/>
    <x:col min="8" max="8" width="15" hidden="0" customWidth="1"/>
    <x:col min="9" max="9" width="14" hidden="0" customWidth="1"/>
    <x:col min="10" max="10" width="14" hidden="0" customWidth="1"/>
    <x:col min="11" max="11" width="16" hidden="0" customWidth="1"/>
    <x:col min="12" max="12" width="32" hidden="0" customWidth="1"/>
  </x:cols>
  <x:sheetData>
    <x:row r="1" ht="34" customHeight="1">
      <x:c r="A1" s="3" t="str">
        <x:v>유튜버 메일 아웃리치 관리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8" t="str">
        <x:v>공개 비즈니스 이메일만 사용하세요. 이메일 주소는 자동 수집하거나 추측하지 않았습니다.</x:v>
      </x:c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</x:row>
    <x:row r="4" ht="34" customHeight="1">
      <x:c r="A4" s="25" t="str">
        <x:v>채널</x:v>
      </x:c>
      <x:c r="B4" s="25" t="str">
        <x:v>웨이브</x:v>
      </x:c>
      <x:c r="C4" s="25" t="str">
        <x:v>순위</x:v>
      </x:c>
      <x:c r="D4" s="25" t="str">
        <x:v>점수</x:v>
      </x:c>
      <x:c r="E4" s="25" t="str">
        <x:v>공개 연락 경로</x:v>
      </x:c>
      <x:c r="F4" s="25" t="str">
        <x:v>비즈니스 이메일</x:v>
      </x:c>
      <x:c r="G4" s="25" t="str">
        <x:v>이메일 확인</x:v>
      </x:c>
      <x:c r="H4" s="25" t="str">
        <x:v>발송 상태</x:v>
      </x:c>
      <x:c r="I4" s="25" t="str">
        <x:v>발송일</x:v>
      </x:c>
      <x:c r="J4" s="25" t="str">
        <x:v>후속일</x:v>
      </x:c>
      <x:c r="K4" s="25" t="str">
        <x:v>담당자</x:v>
      </x:c>
      <x:c r="L4" s="25" t="str">
        <x:v>메모</x:v>
      </x:c>
    </x:row>
    <x:row r="5" ht="42" customHeight="1">
      <x:c r="A5" s="60" t="str">
        <x:f>'우선순위'!C6</x:f>
        <x:v>안될과학 Unrealscience</x:v>
      </x:c>
      <x:c r="B5" s="62" t="str">
        <x:f>'우선순위'!B6</x:f>
        <x:v>1차</x:v>
      </x:c>
      <x:c r="C5" s="62" t="n">
        <x:f>'우선순위'!A6</x:f>
        <x:v>1</x:v>
      </x:c>
      <x:c r="D5" s="64" t="n">
        <x:f>'우선순위'!D6</x:f>
        <x:v>95</x:v>
      </x:c>
      <x:c r="E5" s="60" t="str">
        <x:f>'우선순위'!I6</x:f>
        <x:v>https://www.youtube.com/@unrealscience/about</x:v>
      </x:c>
      <x:c r="F5" s="71"/>
      <x:c r="G5" s="60" t="str">
        <x:v>미확인</x:v>
      </x:c>
      <x:c r="H5" s="60" t="str">
        <x:v>미발송</x:v>
      </x:c>
      <x:c r="I5" s="69"/>
      <x:c r="J5" s="69"/>
      <x:c r="K5" s="60"/>
      <x:c r="L5" s="60"/>
    </x:row>
    <x:row r="6" ht="42" customHeight="1">
      <x:c r="A6" s="60" t="str">
        <x:f>'우선순위'!C7</x:f>
        <x:v>디에디트 THE EDIT</x:v>
      </x:c>
      <x:c r="B6" s="62" t="str">
        <x:f>'우선순위'!B7</x:f>
        <x:v>1차</x:v>
      </x:c>
      <x:c r="C6" s="62" t="n">
        <x:f>'우선순위'!A7</x:f>
        <x:v>2</x:v>
      </x:c>
      <x:c r="D6" s="64" t="n">
        <x:f>'우선순위'!D7</x:f>
        <x:v>94</x:v>
      </x:c>
      <x:c r="E6" s="60" t="str">
        <x:f>'우선순위'!I7</x:f>
        <x:v>https://www.youtube.com/@the-edit/about</x:v>
      </x:c>
      <x:c r="F6" s="71"/>
      <x:c r="G6" s="60" t="str">
        <x:v>미확인</x:v>
      </x:c>
      <x:c r="H6" s="60" t="str">
        <x:v>미발송</x:v>
      </x:c>
      <x:c r="I6" s="69"/>
      <x:c r="J6" s="69"/>
      <x:c r="K6" s="60"/>
      <x:c r="L6" s="60"/>
    </x:row>
    <x:row r="7" ht="42" customHeight="1">
      <x:c r="A7" s="60" t="str">
        <x:f>'우선순위'!C8</x:f>
        <x:v>닥터프렌즈</x:v>
      </x:c>
      <x:c r="B7" s="62" t="str">
        <x:f>'우선순위'!B8</x:f>
        <x:v>1차</x:v>
      </x:c>
      <x:c r="C7" s="62" t="n">
        <x:f>'우선순위'!A8</x:f>
        <x:v>3</x:v>
      </x:c>
      <x:c r="D7" s="64" t="n">
        <x:f>'우선순위'!D8</x:f>
        <x:v>91</x:v>
      </x:c>
      <x:c r="E7" s="60" t="str">
        <x:f>'우선순위'!I8</x:f>
        <x:v>https://www.youtube.com/channel/UCVfLNEch9YxD4tX1L-crkMQ/about</x:v>
      </x:c>
      <x:c r="F7" s="71"/>
      <x:c r="G7" s="60" t="str">
        <x:v>미확인</x:v>
      </x:c>
      <x:c r="H7" s="60" t="str">
        <x:v>미발송</x:v>
      </x:c>
      <x:c r="I7" s="69"/>
      <x:c r="J7" s="69"/>
      <x:c r="K7" s="60"/>
      <x:c r="L7" s="60"/>
    </x:row>
    <x:row r="8" ht="42" customHeight="1">
      <x:c r="A8" s="60" t="str">
        <x:f>'우선순위'!C9</x:f>
        <x:v>ITSub잇섭</x:v>
      </x:c>
      <x:c r="B8" s="62" t="str">
        <x:f>'우선순위'!B9</x:f>
        <x:v>1차</x:v>
      </x:c>
      <x:c r="C8" s="62" t="n">
        <x:f>'우선순위'!A9</x:f>
        <x:v>4</x:v>
      </x:c>
      <x:c r="D8" s="64" t="n">
        <x:f>'우선순위'!D9</x:f>
        <x:v>90</x:v>
      </x:c>
      <x:c r="E8" s="60" t="str">
        <x:f>'우선순위'!I9</x:f>
        <x:v>https://www.youtube.com/@itsub/about</x:v>
      </x:c>
      <x:c r="F8" s="71"/>
      <x:c r="G8" s="60" t="str">
        <x:v>미확인</x:v>
      </x:c>
      <x:c r="H8" s="60" t="str">
        <x:v>미발송</x:v>
      </x:c>
      <x:c r="I8" s="69"/>
      <x:c r="J8" s="69"/>
      <x:c r="K8" s="60"/>
      <x:c r="L8" s="60"/>
    </x:row>
    <x:row r="9" ht="42" customHeight="1">
      <x:c r="A9" s="60" t="str">
        <x:f>'우선순위'!C10</x:f>
        <x:v>귀곰</x:v>
      </x:c>
      <x:c r="B9" s="62" t="str">
        <x:f>'우선순위'!B10</x:f>
        <x:v>1차</x:v>
      </x:c>
      <x:c r="C9" s="62" t="n">
        <x:f>'우선순위'!A10</x:f>
        <x:v>5</x:v>
      </x:c>
      <x:c r="D9" s="64" t="n">
        <x:f>'우선순위'!D10</x:f>
        <x:v>88</x:v>
      </x:c>
      <x:c r="E9" s="60" t="str">
        <x:f>'우선순위'!I10</x:f>
        <x:v>https://www.youtube.com/@gwigom/about</x:v>
      </x:c>
      <x:c r="F9" s="71"/>
      <x:c r="G9" s="60" t="str">
        <x:v>미확인</x:v>
      </x:c>
      <x:c r="H9" s="60" t="str">
        <x:v>미발송</x:v>
      </x:c>
      <x:c r="I9" s="69"/>
      <x:c r="J9" s="69"/>
      <x:c r="K9" s="60"/>
      <x:c r="L9" s="60"/>
    </x:row>
    <x:row r="10" ht="42" customHeight="1">
      <x:c r="A10" s="60" t="str">
        <x:f>'우선순위'!C11</x:f>
        <x:v>이연LEEYEON</x:v>
      </x:c>
      <x:c r="B10" s="62" t="str">
        <x:f>'우선순위'!B11</x:f>
        <x:v>2차</x:v>
      </x:c>
      <x:c r="C10" s="62" t="n">
        <x:f>'우선순위'!A11</x:f>
        <x:v>6</x:v>
      </x:c>
      <x:c r="D10" s="64" t="n">
        <x:f>'우선순위'!D11</x:f>
        <x:v>86</x:v>
      </x:c>
      <x:c r="E10" s="60" t="str">
        <x:f>'우선순위'!I11</x:f>
        <x:v>https://www.youtube.com/@leeyeon/about</x:v>
      </x:c>
      <x:c r="F10" s="71"/>
      <x:c r="G10" s="60" t="str">
        <x:v>미확인</x:v>
      </x:c>
      <x:c r="H10" s="60" t="str">
        <x:v>미발송</x:v>
      </x:c>
      <x:c r="I10" s="69"/>
      <x:c r="J10" s="69"/>
      <x:c r="K10" s="60"/>
      <x:c r="L10" s="60"/>
    </x:row>
    <x:row r="11" ht="42" customHeight="1">
      <x:c r="A11" s="60" t="str">
        <x:f>'우선순위'!C12</x:f>
        <x:v>지식인사이드</x:v>
      </x:c>
      <x:c r="B11" s="62" t="str">
        <x:f>'우선순위'!B12</x:f>
        <x:v>2차</x:v>
      </x:c>
      <x:c r="C11" s="62" t="n">
        <x:f>'우선순위'!A12</x:f>
        <x:v>7</x:v>
      </x:c>
      <x:c r="D11" s="64" t="n">
        <x:f>'우선순위'!D12</x:f>
        <x:v>85</x:v>
      </x:c>
      <x:c r="E11" s="60" t="str">
        <x:f>'우선순위'!I12</x:f>
        <x:v>https://www.youtube.com/channel/UCA_hgsFzmynpv1zkvA5A7jA/about</x:v>
      </x:c>
      <x:c r="F11" s="71"/>
      <x:c r="G11" s="60" t="str">
        <x:v>미확인</x:v>
      </x:c>
      <x:c r="H11" s="60" t="str">
        <x:v>미발송</x:v>
      </x:c>
      <x:c r="I11" s="69"/>
      <x:c r="J11" s="69"/>
      <x:c r="K11" s="60"/>
      <x:c r="L11" s="60"/>
    </x:row>
    <x:row r="12" ht="42" customHeight="1">
      <x:c r="A12" s="60" t="str">
        <x:f>'우선순위'!C13</x:f>
        <x:v>미미미누</x:v>
      </x:c>
      <x:c r="B12" s="62" t="str">
        <x:f>'우선순위'!B13</x:f>
        <x:v>2차</x:v>
      </x:c>
      <x:c r="C12" s="62" t="n">
        <x:f>'우선순위'!A13</x:f>
        <x:v>8</x:v>
      </x:c>
      <x:c r="D12" s="64" t="n">
        <x:f>'우선순위'!D13</x:f>
        <x:v>81</x:v>
      </x:c>
      <x:c r="E12" s="60" t="str">
        <x:f>'우선순위'!I13</x:f>
        <x:v>https://www.youtube.com/@mimiminu_official/about</x:v>
      </x:c>
      <x:c r="F12" s="71"/>
      <x:c r="G12" s="60" t="str">
        <x:v>미확인</x:v>
      </x:c>
      <x:c r="H12" s="60" t="str">
        <x:v>미발송</x:v>
      </x:c>
      <x:c r="I12" s="69"/>
      <x:c r="J12" s="69"/>
      <x:c r="K12" s="60"/>
      <x:c r="L12" s="60"/>
    </x:row>
    <x:row r="13" ht="42" customHeight="1">
      <x:c r="A13" s="60" t="str">
        <x:f>'우선순위'!C14</x:f>
        <x:v>채코제 Channel Korean Jay</x:v>
      </x:c>
      <x:c r="B13" s="62" t="str">
        <x:f>'우선순위'!B14</x:f>
        <x:v>2차</x:v>
      </x:c>
      <x:c r="C13" s="62" t="n">
        <x:f>'우선순위'!A14</x:f>
        <x:v>9</x:v>
      </x:c>
      <x:c r="D13" s="64" t="n">
        <x:f>'우선순위'!D14</x:f>
        <x:v>80</x:v>
      </x:c>
      <x:c r="E13" s="60" t="str">
        <x:f>'우선순위'!I14</x:f>
        <x:v>https://www.youtube.com/channel/UCaoqDZPllYXLAH_5OBRLLrw/about</x:v>
      </x:c>
      <x:c r="F13" s="71"/>
      <x:c r="G13" s="60" t="str">
        <x:v>미확인</x:v>
      </x:c>
      <x:c r="H13" s="60" t="str">
        <x:v>미발송</x:v>
      </x:c>
      <x:c r="I13" s="69"/>
      <x:c r="J13" s="69"/>
      <x:c r="K13" s="60"/>
      <x:c r="L13" s="60"/>
    </x:row>
    <x:row r="14" ht="42" customHeight="1">
      <x:c r="A14" s="61" t="str">
        <x:f>'우선순위'!C15</x:f>
        <x:v>조승연의 탐구생활</x:v>
      </x:c>
      <x:c r="B14" s="63" t="str">
        <x:f>'우선순위'!B15</x:f>
        <x:v>3차</x:v>
      </x:c>
      <x:c r="C14" s="63" t="n">
        <x:f>'우선순위'!A15</x:f>
        <x:v>10</x:v>
      </x:c>
      <x:c r="D14" s="65" t="n">
        <x:f>'우선순위'!D15</x:f>
        <x:v>76</x:v>
      </x:c>
      <x:c r="E14" s="61" t="str">
        <x:f>'우선순위'!I15</x:f>
        <x:v>https://www.youtube.com/@tamgu/about</x:v>
      </x:c>
      <x:c r="F14" s="72"/>
      <x:c r="G14" s="61" t="str">
        <x:v>미확인</x:v>
      </x:c>
      <x:c r="H14" s="61" t="str">
        <x:v>미발송</x:v>
      </x:c>
      <x:c r="I14" s="70"/>
      <x:c r="J14" s="70"/>
      <x:c r="K14" s="61"/>
      <x:c r="L14" s="61"/>
    </x:row>
  </x:sheetData>
  <x:mergeCells>
    <x:mergeCell ref="A1:L1"/>
    <x:mergeCell ref="A2:L2"/>
  </x:mergeCells>
  <x:conditionalFormatting sqref="B5:B14">
    <x:cfRule type="containsText" dxfId="7" priority="1" operator="containsText" text="1차"/>
  </x:conditionalFormatting>
  <x:conditionalFormatting sqref="H5:H14">
    <x:cfRule type="containsText" dxfId="8" priority="2" operator="containsText" text="답변"/>
    <x:cfRule type="containsText" dxfId="9" priority="3" operator="containsText" text="미회신"/>
  </x:conditionalFormatting>
  <x:dataValidations count="2">
    <x:dataValidation type="list" sqref="G5:G14">
      <x:formula1>"미확인,공개주소 확인,주소 없음,제외"</x:formula1>
    </x:dataValidation>
    <x:dataValidation type="list" sqref="H5:H14">
      <x:formula1>"미발송,초안완료,발송,답변,미회신,제외"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30" hidden="0" customWidth="1"/>
    <x:col min="4" max="4" width="30" hidden="0" customWidth="1"/>
    <x:col min="5" max="5" width="30" hidden="0" customWidth="1"/>
  </x:cols>
  <x:sheetData>
    <x:row r="1" ht="34" customHeight="1">
      <x:c r="A1" s="22" t="str">
        <x:v>CrowdSift 유튜버 아웃리치 점수 기준</x:v>
      </x:c>
      <x:c r="B1" s="22"/>
      <x:c r="C1" s="22"/>
      <x:c r="D1" s="22"/>
      <x:c r="E1" s="22"/>
    </x:row>
    <x:row r="2" ht="36" customHeight="1">
      <x:c r="A2" s="6" t="str">
        <x:v>목적: 댓글 운영 고통이 크면서도 초기 파일럿 제안에 응답할 가능성이 있는 채널부터 연락합니다.</x:v>
      </x:c>
      <x:c r="B2" s="6"/>
      <x:c r="C2" s="6"/>
      <x:c r="D2" s="6"/>
      <x:c r="E2" s="6"/>
    </x:row>
    <x:row r="4">
      <x:c r="A4" s="9" t="str">
        <x:v>평가항목</x:v>
      </x:c>
      <x:c r="B4" s="9" t="str">
        <x:v>가중치</x:v>
      </x:c>
      <x:c r="C4" s="9" t="str">
        <x:v>1점</x:v>
      </x:c>
      <x:c r="D4" s="9" t="str">
        <x:v>3점</x:v>
      </x:c>
      <x:c r="E4" s="9" t="str">
        <x:v>5점</x:v>
      </x:c>
    </x:row>
    <x:row r="5" ht="42" customHeight="1">
      <x:c r="A5" s="10" t="str">
        <x:v>댓글 운영 필요도</x:v>
      </x:c>
      <x:c r="B5" s="12" t="n">
        <x:v>0.3</x:v>
      </x:c>
      <x:c r="C5" s="10" t="str">
        <x:v>댓글 적음/검토 부담 낮음</x:v>
      </x:c>
      <x:c r="D5" s="10" t="str">
        <x:v>일부 영상에서 부담</x:v>
      </x:c>
      <x:c r="E5" s="10" t="str">
        <x:v>대량·민감 댓글로 상시 부담</x:v>
      </x:c>
    </x:row>
    <x:row r="6" ht="42" customHeight="1">
      <x:c r="A6" s="10" t="str">
        <x:v>질문·피드백 가치</x:v>
      </x:c>
      <x:c r="B6" s="12" t="n">
        <x:v>0.25</x:v>
      </x:c>
      <x:c r="C6" s="10" t="str">
        <x:v>반응 위주</x:v>
      </x:c>
      <x:c r="D6" s="10" t="str">
        <x:v>일부 유용한 질문/요청</x:v>
      </x:c>
      <x:c r="E6" s="10" t="str">
        <x:v>반복 질문·보완·기획 신호 풍부</x:v>
      </x:c>
    </x:row>
    <x:row r="7" ht="42" customHeight="1">
      <x:c r="A7" s="10" t="str">
        <x:v>최근 활동성</x:v>
      </x:c>
      <x:c r="B7" s="12" t="n">
        <x:v>0.2</x:v>
      </x:c>
      <x:c r="C7" s="10" t="str">
        <x:v>업로드 드묾</x:v>
      </x:c>
      <x:c r="D7" s="10" t="str">
        <x:v>월 단위 활동</x:v>
      </x:c>
      <x:c r="E7" s="10" t="str">
        <x:v>주간·고빈도 업로드/조회</x:v>
      </x:c>
    </x:row>
    <x:row r="8" ht="42" customHeight="1">
      <x:c r="A8" s="11" t="str">
        <x:v>접근 가능성</x:v>
      </x:c>
      <x:c r="B8" s="13" t="n">
        <x:v>0.25</x:v>
      </x:c>
      <x:c r="C8" s="11" t="str">
        <x:v>대형 조직·담당자 불명</x:v>
      </x:c>
      <x:c r="D8" s="11" t="str">
        <x:v>팀 채널/일반 문의</x:v>
      </x:c>
      <x:c r="E8" s="11" t="str">
        <x:v>개인·소규모 팀/공개 문의 명확</x:v>
      </x:c>
    </x:row>
    <x:row r="10">
      <x:c r="A10" s="15" t="str">
        <x:v>종합점수 = (각 1~5점 × 가중치 합계) × 20</x:v>
      </x:c>
      <x:c r="B10" s="15"/>
      <x:c r="C10" s="15"/>
      <x:c r="D10" s="15"/>
      <x:c r="E10" s="15"/>
    </x:row>
    <x:row r="12">
      <x:c r="A12" s="17" t="str">
        <x:v>웨이브</x:v>
      </x:c>
      <x:c r="B12" s="17" t="str">
        <x:v>점수</x:v>
      </x:c>
      <x:c r="C12" s="17" t="str">
        <x:v>의미</x:v>
      </x:c>
      <x:c r="D12" s="17" t="str">
        <x:v>권장 행동</x:v>
      </x:c>
      <x:c r="E12" s="17" t="str">
        <x:v>주의</x:v>
      </x:c>
    </x:row>
    <x:row r="13">
      <x:c r="A13" s="10" t="str">
        <x:v>1차</x:v>
      </x:c>
      <x:c r="B13" s="10" t="str">
        <x:v>88점 이상</x:v>
      </x:c>
      <x:c r="C13" s="10" t="str">
        <x:v>즉시 연락</x:v>
      </x:c>
      <x:c r="D13" s="10" t="str">
        <x:v>개별화 메일 + 50댓글 무료 진단</x:v>
      </x:c>
      <x:c r="E13" s="10" t="str">
        <x:v>5명 내외로 시작</x:v>
      </x:c>
    </x:row>
    <x:row r="14">
      <x:c r="A14" s="10" t="str">
        <x:v>2차</x:v>
      </x:c>
      <x:c r="B14" s="10" t="str">
        <x:v>80~87점</x:v>
      </x:c>
      <x:c r="C14" s="10" t="str">
        <x:v>1차 결과 뒤 연락</x:v>
      </x:c>
      <x:c r="D14" s="10" t="str">
        <x:v>샘플 결과와 사례를 첨부</x:v>
      </x:c>
      <x:c r="E14" s="10" t="str">
        <x:v>접근 경로 재확인</x:v>
      </x:c>
    </x:row>
    <x:row r="15">
      <x:c r="A15" s="11" t="str">
        <x:v>3차</x:v>
      </x:c>
      <x:c r="B15" s="11" t="str">
        <x:v>80점 미만</x:v>
      </x:c>
      <x:c r="C15" s="11" t="str">
        <x:v>전략/학습 후보</x:v>
      </x:c>
      <x:c r="D15" s="11" t="str">
        <x:v>소개·파트너십 경로 우선</x:v>
      </x:c>
      <x:c r="E15" s="11" t="str">
        <x:v>콜드메일 효율 낮을 수 있음</x:v>
      </x:c>
    </x:row>
    <x:row r="17">
      <x:c r="A17" s="19" t="str">
        <x:v>가정 및 한계</x:v>
      </x:c>
      <x:c r="B17" t="str"/>
      <x:c r="C17" t="str"/>
      <x:c r="D17" t="str"/>
      <x:c r="E17" t="str"/>
    </x:row>
    <x:row r="18" ht="34" customHeight="1">
      <x:c r="A18" s="21" t="str">
        <x:v>접근 가능성 점수</x:v>
      </x:c>
      <x:c r="B18" s="21" t="str">
        <x:v>공개 채널 형태와 규모에 따른 내부 추정치이며 사실 데이터가 아닙니다.</x:v>
      </x:c>
      <x:c r="C18" s="21" t="str"/>
      <x:c r="D18" s="21" t="str"/>
      <x:c r="E18" s="21" t="str"/>
    </x:row>
    <x:row r="19" ht="34" customHeight="1">
      <x:c r="A19" s="21" t="str">
        <x:v>통계</x:v>
      </x:c>
      <x:c r="B19" s="21" t="str">
        <x:v>vidIQ·SocialCounts의 공개 스냅샷으로, 발송 직전 YouTube에서 재확인하세요.</x:v>
      </x:c>
      <x:c r="C19" s="21" t="str"/>
      <x:c r="D19" s="21" t="str"/>
      <x:c r="E19" s="21" t="str"/>
    </x:row>
  </x:sheetData>
  <x:mergeCells>
    <x:mergeCell ref="A1:E1"/>
    <x:mergeCell ref="A2:E2"/>
    <x:mergeCell ref="A10:E10"/>
    <x:mergeCell ref="A17:E17"/>
    <x:mergeCell ref="B18:E18"/>
    <x:mergeCell ref="B19:E19"/>
  </x:mergeCells>
  <x:pageMargins left="0.7" right="0.7" top="0.75" bottom="0.75" header="0.3" footer="0.3"/>
</x:worksheet>
</file>