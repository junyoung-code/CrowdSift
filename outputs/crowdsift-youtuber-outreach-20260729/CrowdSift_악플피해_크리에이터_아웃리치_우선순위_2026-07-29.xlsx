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0c2cb86c1b4845" /></Relationships>
</file>

<file path=xl/workbook.xml><?xml version="1.0" encoding="utf-8"?>
<x:workbook xmlns:x="http://schemas.openxmlformats.org/spreadsheetml/2006/main">
  <x:sheets>
    <x:sheet xmlns:r="http://schemas.openxmlformats.org/officeDocument/2006/relationships" name="우선순위" sheetId="1" r:id="R59f0ccaa961941a7"/>
    <x:sheet xmlns:r="http://schemas.openxmlformats.org/officeDocument/2006/relationships" name="악플피해_근거" sheetId="2" r:id="Rafbffa33318e40f6"/>
    <x:sheet xmlns:r="http://schemas.openxmlformats.org/officeDocument/2006/relationships" name="메일관리" sheetId="3" r:id="R8459347351da4b5b"/>
    <x:sheet xmlns:r="http://schemas.openxmlformats.org/officeDocument/2006/relationships" name="점수기준" sheetId="4" r:id="R8c5e41600b304b6e"/>
    <x:sheet xmlns:r="http://schemas.openxmlformats.org/officeDocument/2006/relationships" name="메일초안" sheetId="5" r:id="Rb484f46c94c24f1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16">
    <x:font>
      <x:sz val="11"/>
      <x:name val="Carlito"/>
    </x:font>
    <x:font>
      <x:b/>
      <x:sz val="18"/>
      <x:color rgb="FFFFFFFF"/>
      <x:name val="Carlito"/>
    </x:font>
    <x:font>
      <x:i/>
      <x:sz val="11"/>
      <x:color rgb="FFBE123C"/>
      <x:name val="Carlito"/>
    </x:font>
    <x:font>
      <x:b/>
      <x:sz val="11"/>
      <x:color rgb="FFFFFFFF"/>
      <x:name val="Carlito"/>
    </x:font>
    <x:font>
      <x:b/>
      <x:sz val="11"/>
      <x:color rgb="FF0F766E"/>
      <x:name val="Carlito"/>
    </x:font>
    <x:font>
      <x:b/>
      <x:sz val="11"/>
      <x:color rgb="FF92400E"/>
      <x:name val="Carlito"/>
    </x:font>
    <x:font>
      <x:b/>
      <x:sz val="10"/>
      <x:color rgb="FFFFFFFF"/>
      <x:name val="Aptos"/>
    </x:font>
    <x:font>
      <x:i/>
      <x:sz val="11"/>
      <x:color rgb="FF334155"/>
      <x:name val="Carlito"/>
    </x:font>
    <x:font>
      <x:sz val="9"/>
      <x:name val="Aptos"/>
    </x:font>
    <x:font>
      <x:b/>
      <x:sz val="20"/>
      <x:color rgb="FFFFFFFF"/>
      <x:name val="Carlito"/>
    </x:font>
    <x:font>
      <x:i/>
      <x:sz val="11"/>
      <x:color rgb="FF0F766E"/>
      <x:name val="Carlito"/>
    </x:font>
    <x:font>
      <x:b/>
      <x:sz val="11"/>
      <x:color rgb="FF64748B"/>
      <x:name val="Carlito"/>
    </x:font>
    <x:font>
      <x:b/>
      <x:sz val="11"/>
      <x:color rgb="FF0F172A"/>
      <x:name val="Carlito"/>
    </x:font>
    <x:font>
      <x:i/>
      <x:sz val="11"/>
      <x:color rgb="FF92400E"/>
      <x:name val="Carlito"/>
    </x:font>
    <x:font>
      <x:sz val="10"/>
      <x:name val="Aptos"/>
    </x:font>
    <x:font>
      <x:sz val="11"/>
      <x:color rgb="FF0F172A"/>
      <x:name val="Aptos"/>
    </x:font>
  </x:fonts>
  <x:fills count="10">
    <x:fill>
      <x:patternFill patternType="none"/>
    </x:fill>
    <x:fill>
      <x:patternFill patternType="gray125"/>
    </x:fill>
    <x:fill>
      <x:patternFill patternType="solid">
        <x:fgColor rgb="FF0F172A"/>
      </x:patternFill>
    </x:fill>
    <x:fill>
      <x:patternFill patternType="solid">
        <x:fgColor rgb="FFFFE4E6"/>
      </x:patternFill>
    </x:fill>
    <x:fill>
      <x:patternFill patternType="solid">
        <x:fgColor rgb="FF0F766E"/>
      </x:patternFill>
    </x:fill>
    <x:fill>
      <x:patternFill patternType="solid">
        <x:fgColor rgb="FFCCFBF1"/>
      </x:patternFill>
    </x:fill>
    <x:fill>
      <x:patternFill patternType="solid">
        <x:fgColor rgb="FF334155"/>
      </x:patternFill>
    </x:fill>
    <x:fill>
      <x:patternFill patternType="solid">
        <x:fgColor rgb="FFFEF3C7"/>
      </x:patternFill>
    </x:fill>
    <x:fill>
      <x:patternFill patternType="solid">
        <x:fgColor rgb="FFF1F5F9"/>
      </x:patternFill>
    </x:fill>
    <x:fill>
      <x:patternFill patternType="solid">
        <x:fgColor rgb="FFF8FAFC"/>
      </x:patternFill>
    </x:fill>
  </x:fills>
  <x:borders count="12">
    <x:border/>
    <x:border>
      <x:bottom style="thin">
        <x:color rgb="FFE2E8F0"/>
      </x:bottom>
    </x:border>
    <x:border>
      <x:left style="thin">
        <x:color rgb="FFE2E8F0"/>
      </x:left>
      <x:top style="thin">
        <x:color rgb="FFE2E8F0"/>
      </x:top>
      <x:bottom style="thin">
        <x:color rgb="FFE2E8F0"/>
      </x:bottom>
    </x:border>
    <x:border>
      <x:top style="thin">
        <x:color rgb="FFE2E8F0"/>
      </x:top>
      <x:bottom style="thin">
        <x:color rgb="FFE2E8F0"/>
      </x:bottom>
    </x:border>
    <x:border>
      <x:right style="thin">
        <x:color rgb="FFE2E8F0"/>
      </x:right>
      <x:top style="thin">
        <x:color rgb="FFE2E8F0"/>
      </x:top>
      <x:bottom style="thin">
        <x:color rgb="FFE2E8F0"/>
      </x:bottom>
    </x:border>
    <x:border>
      <x:left style="thin">
        <x:color rgb="FFE2E8F0"/>
      </x:left>
      <x:top style="thin">
        <x:color rgb="FFE2E8F0"/>
      </x:top>
    </x:border>
    <x:border>
      <x:top style="thin">
        <x:color rgb="FFE2E8F0"/>
      </x:top>
    </x:border>
    <x:border>
      <x:right style="thin">
        <x:color rgb="FFE2E8F0"/>
      </x:right>
      <x:top style="thin">
        <x:color rgb="FFE2E8F0"/>
      </x:top>
    </x:border>
    <x:border>
      <x:left style="thin">
        <x:color rgb="FFE2E8F0"/>
      </x:left>
    </x:border>
    <x:border>
      <x:right style="thin">
        <x:color rgb="FFE2E8F0"/>
      </x:right>
    </x:border>
    <x:border>
      <x:left style="thin">
        <x:color rgb="FFE2E8F0"/>
      </x:left>
      <x:bottom style="thin">
        <x:color rgb="FFE2E8F0"/>
      </x:bottom>
    </x:border>
    <x:border>
      <x:right style="thin">
        <x:color rgb="FFE2E8F0"/>
      </x:right>
      <x:bottom style="thin">
        <x:color rgb="FFE2E8F0"/>
      </x:bottom>
    </x:border>
  </x:borders>
  <x:cellStyleXfs count="1">
    <x:xf numFmtId="0" fontId="0" fillId="0" borderId="0"/>
  </x:cellStyleXfs>
  <x:cellXfs count="9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0" borderId="0" xfId="0" applyNumberFormat="1" applyFont="1" applyFill="1" applyBorder="1"/>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6" fillId="2" borderId="0" xfId="0" applyNumberFormat="1" applyFont="1" applyFill="1" applyBorder="1" applyAlignment="1">
      <x:alignment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1" xfId="0" applyNumberFormat="1" applyFont="1" applyFill="1" applyBorder="1"/>
    <x:xf numFmtId="0" fontId="8" fillId="0" borderId="0"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xf numFmtId="0" fontId="8" fillId="0" borderId="1" xfId="0" applyNumberFormat="1" applyFont="1" applyFill="1" applyBorder="1" applyAlignment="1">
      <x:alignment horizontal="center" vertical="top" wrapText="1"/>
    </x:xf>
    <x:xf numFmtId="201" fontId="8" fillId="0" borderId="0" xfId="0" applyNumberFormat="1" applyFont="1" applyFill="1" applyBorder="1" applyAlignment="1">
      <x:alignment horizontal="center" vertical="top" wrapText="1"/>
    </x:xf>
    <x:xf numFmtId="201" fontId="8" fillId="0" borderId="1" xfId="0" applyNumberFormat="1" applyFont="1" applyFill="1" applyBorder="1" applyAlignment="1">
      <x:alignment horizontal="center" vertical="top" wrapText="1"/>
    </x:xf>
    <x:xf numFmtId="202" fontId="8" fillId="0" borderId="0" xfId="0" applyNumberFormat="1" applyFont="1" applyFill="1" applyBorder="1" applyAlignment="1">
      <x:alignment horizontal="center" vertical="top" wrapText="1"/>
    </x:xf>
    <x:xf numFmtId="202" fontId="8" fillId="0" borderId="1" xfId="0" applyNumberFormat="1" applyFont="1" applyFill="1" applyBorder="1" applyAlignment="1">
      <x:alignment horizontal="center" vertical="top" wrapText="1"/>
    </x:xf>
    <x:xf numFmtId="0" fontId="9" fillId="2" borderId="0" xfId="0" applyNumberFormat="1" applyFont="1" applyFill="1" applyBorder="1"/>
    <x:xf numFmtId="0" fontId="9" fillId="2" borderId="0" xfId="0" applyNumberFormat="1" applyFont="1" applyFill="1" applyBorder="1" applyAlignment="1">
      <x:alignment vertical="center"/>
    </x:xf>
    <x:xf numFmtId="0" fontId="10" fillId="5" borderId="0" xfId="0" applyNumberFormat="1" applyFont="1" applyFill="1" applyBorder="1"/>
    <x:xf numFmtId="0" fontId="10" fillId="5" borderId="0" xfId="0" applyNumberFormat="1" applyFont="1" applyFill="1" applyBorder="1" applyAlignment="1">
      <x:alignment wrapText="1"/>
    </x:xf>
    <x:xf numFmtId="0" fontId="0" fillId="8" borderId="2" xfId="0" applyNumberFormat="1" applyFont="1" applyFill="1" applyBorder="1"/>
    <x:xf numFmtId="0" fontId="0" fillId="8" borderId="3" xfId="0" applyNumberFormat="1" applyFont="1" applyFill="1" applyBorder="1"/>
    <x:xf numFmtId="0" fontId="0" fillId="8" borderId="4" xfId="0" applyNumberFormat="1" applyFont="1" applyFill="1" applyBorder="1"/>
    <x:xf numFmtId="0" fontId="0" fillId="8" borderId="2" xfId="0" applyNumberFormat="1" applyFont="1" applyFill="1" applyBorder="1" applyAlignment="1">
      <x:alignment vertical="center"/>
    </x:xf>
    <x:xf numFmtId="0" fontId="0" fillId="8" borderId="3" xfId="0" applyNumberFormat="1" applyFont="1" applyFill="1" applyBorder="1" applyAlignment="1">
      <x:alignment vertical="center"/>
    </x:xf>
    <x:xf numFmtId="0" fontId="0" fillId="8" borderId="4" xfId="0" applyNumberFormat="1" applyFont="1" applyFill="1" applyBorder="1" applyAlignment="1">
      <x:alignment vertical="center"/>
    </x:xf>
    <x:xf numFmtId="0" fontId="11" fillId="8" borderId="2" xfId="0" applyNumberFormat="1" applyFont="1" applyFill="1" applyBorder="1" applyAlignment="1">
      <x:alignment vertical="center"/>
    </x:xf>
    <x:xf numFmtId="0" fontId="12" fillId="8" borderId="3" xfId="0" applyNumberFormat="1" applyFont="1" applyFill="1" applyBorder="1" applyAlignment="1">
      <x:alignment vertical="center"/>
    </x:xf>
    <x:xf numFmtId="201" fontId="0" fillId="8" borderId="3" xfId="0" applyNumberFormat="1" applyFont="1" applyFill="1" applyBorder="1" applyAlignment="1">
      <x:alignment vertical="center"/>
    </x:xf>
    <x:xf numFmtId="0" fontId="13" fillId="7" borderId="0" xfId="0" applyNumberFormat="1" applyFont="1" applyFill="1" applyBorder="1"/>
    <x:xf numFmtId="0" fontId="13" fillId="7" borderId="0" xfId="0" applyNumberFormat="1" applyFont="1" applyFill="1" applyBorder="1" applyAlignment="1">
      <x:alignment wrapText="1"/>
    </x:xf>
    <x:xf numFmtId="0" fontId="14" fillId="0" borderId="0" xfId="0" applyNumberFormat="1" applyFont="1" applyFill="1" applyBorder="1"/>
    <x:xf numFmtId="0" fontId="14" fillId="0" borderId="1" xfId="0" applyNumberFormat="1" applyFont="1" applyFill="1" applyBorder="1"/>
    <x:xf numFmtId="0" fontId="14" fillId="0" borderId="0" xfId="0" applyNumberFormat="1" applyFont="1" applyFill="1" applyBorder="1" applyAlignment="1">
      <x:alignment wrapText="1"/>
    </x:xf>
    <x:xf numFmtId="0" fontId="14" fillId="0" borderId="1" xfId="0" applyNumberFormat="1" applyFont="1" applyFill="1" applyBorder="1" applyAlignment="1">
      <x:alignment wrapText="1"/>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14" fillId="0" borderId="0" xfId="0" applyNumberFormat="1" applyFont="1" applyFill="1" applyBorder="1" applyAlignment="1">
      <x:alignment horizontal="center" vertical="top" wrapText="1"/>
    </x:xf>
    <x:xf numFmtId="0" fontId="14" fillId="0" borderId="1" xfId="0" applyNumberFormat="1" applyFont="1" applyFill="1" applyBorder="1" applyAlignment="1">
      <x:alignment horizontal="center" vertical="top" wrapText="1"/>
    </x:xf>
    <x:xf numFmtId="0" fontId="14" fillId="7" borderId="0" xfId="0" applyNumberFormat="1" applyFont="1" applyFill="1" applyBorder="1" applyAlignment="1">
      <x:alignment vertical="top" wrapText="1"/>
    </x:xf>
    <x:xf numFmtId="0" fontId="14" fillId="7" borderId="1"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1" fontId="14" fillId="0" borderId="1" xfId="0" applyNumberFormat="1" applyFont="1" applyFill="1" applyBorder="1" applyAlignment="1">
      <x:alignment vertical="top" wrapText="1"/>
    </x:xf>
    <x:xf numFmtId="0" fontId="0" fillId="9" borderId="0" xfId="0" applyNumberFormat="1" applyFont="1" applyFill="1" applyBorder="1"/>
    <x:xf numFmtId="0" fontId="15" fillId="9" borderId="0" xfId="0" applyNumberFormat="1" applyFont="1" applyFill="1" applyBorder="1"/>
    <x:xf numFmtId="0" fontId="15" fillId="9" borderId="5" xfId="0" applyNumberFormat="1" applyFont="1" applyFill="1" applyBorder="1"/>
    <x:xf numFmtId="0" fontId="15" fillId="9" borderId="6" xfId="0" applyNumberFormat="1" applyFont="1" applyFill="1" applyBorder="1"/>
    <x:xf numFmtId="0" fontId="15" fillId="9" borderId="7" xfId="0" applyNumberFormat="1" applyFont="1" applyFill="1" applyBorder="1"/>
    <x:xf numFmtId="0" fontId="15" fillId="9" borderId="8" xfId="0" applyNumberFormat="1" applyFont="1" applyFill="1" applyBorder="1"/>
    <x:xf numFmtId="0" fontId="15" fillId="9" borderId="9" xfId="0" applyNumberFormat="1" applyFont="1" applyFill="1" applyBorder="1"/>
    <x:xf numFmtId="0" fontId="15" fillId="9" borderId="10" xfId="0" applyNumberFormat="1" applyFont="1" applyFill="1" applyBorder="1"/>
    <x:xf numFmtId="0" fontId="15" fillId="9" borderId="1" xfId="0" applyNumberFormat="1" applyFont="1" applyFill="1" applyBorder="1"/>
    <x:xf numFmtId="0" fontId="15" fillId="9" borderId="11" xfId="0" applyNumberFormat="1" applyFont="1" applyFill="1" applyBorder="1"/>
    <x:xf numFmtId="0" fontId="15" fillId="9" borderId="5" xfId="0" applyNumberFormat="1" applyFont="1" applyFill="1" applyBorder="1" applyAlignment="1">
      <x:alignment wrapText="1"/>
    </x:xf>
    <x:xf numFmtId="0" fontId="15" fillId="9" borderId="6" xfId="0" applyNumberFormat="1" applyFont="1" applyFill="1" applyBorder="1" applyAlignment="1">
      <x:alignment wrapText="1"/>
    </x:xf>
    <x:xf numFmtId="0" fontId="15" fillId="9" borderId="7" xfId="0" applyNumberFormat="1" applyFont="1" applyFill="1" applyBorder="1" applyAlignment="1">
      <x:alignment wrapText="1"/>
    </x:xf>
    <x:xf numFmtId="0" fontId="15" fillId="9" borderId="8" xfId="0" applyNumberFormat="1" applyFont="1" applyFill="1" applyBorder="1" applyAlignment="1">
      <x:alignment wrapText="1"/>
    </x:xf>
    <x:xf numFmtId="0" fontId="15" fillId="9" borderId="0" xfId="0" applyNumberFormat="1" applyFont="1" applyFill="1" applyBorder="1" applyAlignment="1">
      <x:alignment wrapText="1"/>
    </x:xf>
    <x:xf numFmtId="0" fontId="15" fillId="9" borderId="9" xfId="0" applyNumberFormat="1" applyFont="1" applyFill="1" applyBorder="1" applyAlignment="1">
      <x:alignment wrapText="1"/>
    </x:xf>
    <x:xf numFmtId="0" fontId="15" fillId="9" borderId="10" xfId="0" applyNumberFormat="1" applyFont="1" applyFill="1" applyBorder="1" applyAlignment="1">
      <x:alignment wrapText="1"/>
    </x:xf>
    <x:xf numFmtId="0" fontId="15" fillId="9" borderId="1" xfId="0" applyNumberFormat="1" applyFont="1" applyFill="1" applyBorder="1" applyAlignment="1">
      <x:alignment wrapText="1"/>
    </x:xf>
    <x:xf numFmtId="0" fontId="15" fillId="9" borderId="11" xfId="0" applyNumberFormat="1" applyFont="1" applyFill="1" applyBorder="1" applyAlignment="1">
      <x:alignment wrapText="1"/>
    </x:xf>
    <x:xf numFmtId="0" fontId="15" fillId="9" borderId="5" xfId="0" applyNumberFormat="1" applyFont="1" applyFill="1" applyBorder="1" applyAlignment="1">
      <x:alignment vertical="top" wrapText="1"/>
    </x:xf>
    <x:xf numFmtId="0" fontId="15" fillId="9" borderId="6" xfId="0" applyNumberFormat="1" applyFont="1" applyFill="1" applyBorder="1" applyAlignment="1">
      <x:alignment vertical="top" wrapText="1"/>
    </x:xf>
    <x:xf numFmtId="0" fontId="15" fillId="9" borderId="7" xfId="0" applyNumberFormat="1" applyFont="1" applyFill="1" applyBorder="1" applyAlignment="1">
      <x:alignment vertical="top" wrapText="1"/>
    </x:xf>
    <x:xf numFmtId="0" fontId="15" fillId="9" borderId="8" xfId="0" applyNumberFormat="1" applyFont="1" applyFill="1" applyBorder="1" applyAlignment="1">
      <x:alignment vertical="top" wrapText="1"/>
    </x:xf>
    <x:xf numFmtId="0" fontId="15" fillId="9" borderId="0" xfId="0" applyNumberFormat="1" applyFont="1" applyFill="1" applyBorder="1" applyAlignment="1">
      <x:alignment vertical="top" wrapText="1"/>
    </x:xf>
    <x:xf numFmtId="0" fontId="15" fillId="9" borderId="9" xfId="0" applyNumberFormat="1" applyFont="1" applyFill="1" applyBorder="1" applyAlignment="1">
      <x:alignment vertical="top" wrapText="1"/>
    </x:xf>
    <x:xf numFmtId="0" fontId="15" fillId="9" borderId="10" xfId="0" applyNumberFormat="1" applyFont="1" applyFill="1" applyBorder="1" applyAlignment="1">
      <x:alignment vertical="top" wrapText="1"/>
    </x:xf>
    <x:xf numFmtId="0" fontId="15" fillId="9" borderId="1" xfId="0" applyNumberFormat="1" applyFont="1" applyFill="1" applyBorder="1" applyAlignment="1">
      <x:alignment vertical="top" wrapText="1"/>
    </x:xf>
    <x:xf numFmtId="0" fontId="15" fillId="9" borderId="11" xfId="0" applyNumberFormat="1" applyFont="1" applyFill="1" applyBorder="1" applyAlignment="1">
      <x:alignment vertical="top" wrapText="1"/>
    </x:xf>
  </x:cellXfs>
  <x:cellStyles count="1">
    <x:cellStyle name="Normal" xfId="0"/>
  </x:cellStyles>
  <x:dxfs count="6">
    <x:dxf>
      <x:font>
        <x:b/>
        <x:color rgb="FF166534"/>
      </x:font>
      <x:fill>
        <x:patternFill patternType="solid">
          <x:bgColor rgb="FFDCFCE7"/>
        </x:patternFill>
      </x:fill>
    </x:dxf>
    <x:dxf>
      <x:font>
        <x:b/>
        <x:color rgb="FF92400E"/>
      </x:font>
      <x:fill>
        <x:patternFill patternType="solid">
          <x:bgColor rgb="FFFEF3C7"/>
        </x:patternFill>
      </x:fill>
    </x:dxf>
    <x:dxf>
      <x:font>
        <x:b/>
        <x:color rgb="FFBE123C"/>
      </x:font>
      <x:fill>
        <x:patternFill patternType="solid">
          <x:bgColor rgb="FFFFE4E6"/>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BE123C"/>
      </x:font>
      <x:fill>
        <x:patternFill patternType="solid">
          <x:bgColor rgb="FFFFE4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bc3f2ff29141cc" /><Relationship Type="http://schemas.openxmlformats.org/officeDocument/2006/relationships/theme" Target="/xl/theme/theme1.xml" Id="R933682e507fe4f42" /><Relationship Type="http://schemas.openxmlformats.org/officeDocument/2006/relationships/sharedStrings" Target="/xl/sharedStrings.xml" Id="Rd3e596b4c383475b" /><Relationship Type="http://schemas.openxmlformats.org/officeDocument/2006/relationships/worksheet" Target="/xl/worksheets/sheet1.xml" Id="R59f0ccaa961941a7" /><Relationship Type="http://schemas.openxmlformats.org/officeDocument/2006/relationships/worksheet" Target="/xl/worksheets/sheet2.xml" Id="Rafbffa33318e40f6" /><Relationship Type="http://schemas.openxmlformats.org/officeDocument/2006/relationships/worksheet" Target="/xl/worksheets/sheet3.xml" Id="R8459347351da4b5b" /><Relationship Type="http://schemas.openxmlformats.org/officeDocument/2006/relationships/worksheet" Target="/xl/worksheets/sheet4.xml" Id="R8c5e41600b304b6e" /><Relationship Type="http://schemas.openxmlformats.org/officeDocument/2006/relationships/worksheet" Target="/xl/worksheets/sheet5.xml" Id="Rb484f46c94c24f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1" hidden="0" customWidth="1"/>
    <x:col min="3" max="3" width="24" hidden="0" customWidth="1"/>
    <x:col min="4" max="4" width="10" hidden="0" customWidth="1"/>
    <x:col min="5" max="5" width="10" hidden="0" customWidth="1"/>
    <x:col min="6" max="6" width="31" hidden="0" customWidth="1"/>
    <x:col min="7" max="7" width="42" hidden="0" customWidth="1"/>
    <x:col min="8" max="8" width="42" hidden="0" customWidth="1"/>
    <x:col min="9" max="9" width="42" hidden="0" customWidth="1"/>
    <x:col min="10" max="10" width="38" hidden="0" customWidth="1"/>
    <x:col min="11" max="11" width="28" hidden="0" customWidth="1"/>
    <x:col min="12" max="12" width="14" hidden="0" customWidth="1"/>
  </x:cols>
  <x:sheetData>
    <x:row r="1" ht="40" customHeight="1">
      <x:c r="A1" s="44" t="str">
        <x:v>CrowdSift 악플 피해 크리에이터 아웃리치</x:v>
      </x:c>
      <x:c r="B1" s="44"/>
      <x:c r="C1" s="44"/>
      <x:c r="D1" s="44"/>
      <x:c r="E1" s="44"/>
      <x:c r="F1" s="44"/>
      <x:c r="G1" s="44"/>
      <x:c r="H1" s="44"/>
      <x:c r="I1" s="44"/>
      <x:c r="J1" s="44"/>
      <x:c r="K1" s="44"/>
      <x:c r="L1" s="44"/>
    </x:row>
    <x:row r="2">
      <x:c r="A2" s="46" t="str">
        <x:v>권장 시작: 원샷한솔 → 굴러라 구르님 → 현재 활동이 확인된 노래하는 민이 → 위라클. 1차는 4명만 보내고, 답변과 파일럿 품질을 확인한 뒤 확대합니다.</x:v>
      </x:c>
      <x:c r="B2" s="46"/>
      <x:c r="C2" s="46"/>
      <x:c r="D2" s="46"/>
      <x:c r="E2" s="46"/>
      <x:c r="F2" s="46"/>
      <x:c r="G2" s="46"/>
      <x:c r="H2" s="46"/>
      <x:c r="I2" s="46"/>
      <x:c r="J2" s="46"/>
      <x:c r="K2" s="46"/>
      <x:c r="L2" s="46"/>
    </x:row>
    <x:row r="3">
      <x:c r="A3" s="53" t="str">
        <x:v>1차</x:v>
      </x:c>
      <x:c r="B3" s="54" t="n">
        <x:f>COUNTIF(B6:B15,"1차")</x:f>
        <x:v>4</x:v>
      </x:c>
      <x:c r="C3" s="51" t="str">
        <x:v>2차</x:v>
      </x:c>
      <x:c r="D3" s="51" t="n">
        <x:f>COUNTIF(B6:B15,"2차")</x:f>
        <x:v>4</x:v>
      </x:c>
      <x:c r="E3" s="51" t="str">
        <x:v>보류</x:v>
      </x:c>
      <x:c r="F3" s="51" t="n">
        <x:f>COUNTIF(B6:B15,"보류")</x:f>
        <x:v>2</x:v>
      </x:c>
      <x:c r="G3" s="51" t="str">
        <x:v>파일럿 댓글</x:v>
      </x:c>
      <x:c r="H3" s="51" t="n">
        <x:v>20</x:v>
      </x:c>
      <x:c r="I3" s="51" t="str">
        <x:v>리서치일</x:v>
      </x:c>
      <x:c r="J3" s="55" t="n">
        <x:v>46232</x:v>
      </x:c>
      <x:c r="K3" s="51" t="str">
        <x:v>실제 발송</x:v>
      </x:c>
      <x:c r="L3" s="52" t="str">
        <x:v>미수행</x:v>
      </x:c>
    </x:row>
    <x:row r="5" ht="40" customHeight="1">
      <x:c r="A5" s="30" t="str">
        <x:v>순위</x:v>
      </x:c>
      <x:c r="B5" s="30" t="str">
        <x:v>웨이브</x:v>
      </x:c>
      <x:c r="C5" s="30" t="str">
        <x:v>채널</x:v>
      </x:c>
      <x:c r="D5" s="30" t="str">
        <x:v>근거</x:v>
      </x:c>
      <x:c r="E5" s="30" t="str">
        <x:v>점수</x:v>
      </x:c>
      <x:c r="F5" s="30" t="str">
        <x:v>확인된 피해/행동</x:v>
      </x:c>
      <x:c r="G5" s="30" t="str">
        <x:v>왜 우선인가</x:v>
      </x:c>
      <x:c r="H5" s="30" t="str">
        <x:v>개별화 첫 문장</x:v>
      </x:c>
      <x:c r="I5" s="30" t="str">
        <x:v>무료 파일럿</x:v>
      </x:c>
      <x:c r="J5" s="30" t="str">
        <x:v>공개 연락 경로</x:v>
      </x:c>
      <x:c r="K5" s="30" t="str">
        <x:v>발송 전 확인</x:v>
      </x:c>
      <x:c r="L5" s="30" t="str">
        <x:v>상태</x:v>
      </x:c>
    </x:row>
    <x:row r="6" ht="68" customHeight="1">
      <x:c r="A6" s="37" t="n">
        <x:f>'악플피해_근거'!A5</x:f>
        <x:v>1</x:v>
      </x:c>
      <x:c r="B6" s="37" t="str">
        <x:f>'악플피해_근거'!B5</x:f>
        <x:v>1차</x:v>
      </x:c>
      <x:c r="C6" s="37" t="str">
        <x:f>'악플피해_근거'!C5</x:f>
        <x:v>원샷한솔</x:v>
      </x:c>
      <x:c r="D6" s="37" t="str">
        <x:f>'악플피해_근거'!E5</x:f>
        <x:v>A</x:v>
      </x:c>
      <x:c r="E6" s="37" t="n">
        <x:f>'악플피해_근거'!O5</x:f>
        <x:v>96</x:v>
      </x:c>
      <x:c r="F6" s="35" t="str">
        <x:f>'악플피해_근거'!I5</x:f>
        <x:v>반복 피해 공개, 영상에서 정서적 고통 표출</x:v>
      </x:c>
      <x:c r="G6" s="35" t="str">
        <x:f>'악플피해_근거'!S5</x:f>
        <x:v>최근 본인이 직접 피해를 공개했고, 순수 비난을 가리는 기능과 거친 표현 속 개선 신호를 순화하는 기능을 모두 설명하기 가장 좋은 사례.</x:v>
      </x:c>
      <x:c r="H6" s="35" t="str">
        <x:f>'악플피해_근거'!T5</x:f>
        <x:v>최근 영상에서 오랫동안 반복된 악성 댓글을 직접 읽으며 힘들어하신 내용을 봤습니다. 그 원문을 다시 인용하지 않고도 부담을 줄일 방법을 제안드리고 싶었습니다.</x:v>
      </x:c>
      <x:c r="I6" s="35" t="str">
        <x:v>최근 공개 영상 1개의 댓글 20–50개를 악성 원문 비노출·유용한 질문/피드백만 순화해 무료 전달.</x:v>
      </x:c>
      <x:c r="J6" s="35" t="str">
        <x:v>https://www.youtube.com/@oneshothansol/about</x:v>
      </x:c>
      <x:c r="K6" s="35" t="str">
        <x:v>현재 활동·공식 연락처 재확인</x:v>
      </x:c>
      <x:c r="L6" s="35" t="str">
        <x:v>미발송</x:v>
      </x:c>
    </x:row>
    <x:row r="7" ht="68" customHeight="1">
      <x:c r="A7" s="37" t="n">
        <x:f>'악플피해_근거'!A6</x:f>
        <x:v>2</x:v>
      </x:c>
      <x:c r="B7" s="37" t="str">
        <x:f>'악플피해_근거'!B6</x:f>
        <x:v>1차</x:v>
      </x:c>
      <x:c r="C7" s="37" t="str">
        <x:f>'악플피해_근거'!C6</x:f>
        <x:v>굴러라 구르님</x:v>
      </x:c>
      <x:c r="D7" s="37" t="str">
        <x:f>'악플피해_근거'!E6</x:f>
        <x:v>A</x:v>
      </x:c>
      <x:c r="E7" s="37" t="n">
        <x:f>'악플피해_근거'!O6</x:f>
        <x:v>93</x:v>
      </x:c>
      <x:c r="F7" s="35" t="str">
        <x:f>'악플피해_근거'!I6</x:f>
        <x:v>반복 악플 경험 공개, 직접 대응 콘텐츠 제작</x:v>
      </x:c>
      <x:c r="G7" s="35" t="str">
        <x:f>'악플피해_근거'!S6</x:f>
        <x:v>본인이 악플 경험을 공개했고 개인 크리에이터 성격이 강해, 정서적 안전과 실용적 피드백 분리를 함께 검증할 초기 인터뷰 파트너로 적합.</x:v>
      </x:c>
      <x:c r="H7" s="35" t="str">
        <x:f>'악플피해_근거'!T6</x:f>
        <x:v>장애를 유쾌하게 이야기해도 악플이 붙는다는 인터뷰를 읽었습니다. 원문을 직접 보지 않아도 필요한 반응만 남기는 방식을 함께 검증해보고 싶습니다.</x:v>
      </x:c>
      <x:c r="I7" s="35" t="str">
        <x:v>최근 영상 1개의 댓글을 혐오·질문·공감·다음 주제 요청으로 나누고 혐오 원문은 가린 요약본 제공.</x:v>
      </x:c>
      <x:c r="J7" s="35" t="str">
        <x:v>https://linktr.ee/rollingguru</x:v>
      </x:c>
      <x:c r="K7" s="35" t="str">
        <x:v>현재 활동·공식 연락처 재확인</x:v>
      </x:c>
      <x:c r="L7" s="35" t="str">
        <x:v>미발송</x:v>
      </x:c>
    </x:row>
    <x:row r="8" ht="68" customHeight="1">
      <x:c r="A8" s="37" t="n">
        <x:f>'악플피해_근거'!A7</x:f>
        <x:v>3</x:v>
      </x:c>
      <x:c r="B8" s="37" t="str">
        <x:f>'악플피해_근거'!B7</x:f>
        <x:v>1차</x:v>
      </x:c>
      <x:c r="C8" s="37" t="str">
        <x:f>'악플피해_근거'!C7</x:f>
        <x:v>노래하는 민이</x:v>
      </x:c>
      <x:c r="D8" s="37" t="str">
        <x:f>'악플피해_근거'!E7</x:f>
        <x:v>B</x:v>
      </x:c>
      <x:c r="E8" s="37" t="n">
        <x:f>'악플피해_근거'!O7</x:f>
        <x:v>82</x:v>
      </x:c>
      <x:c r="F8" s="35" t="str">
        <x:f>'악플피해_근거'!I7</x:f>
        <x:v>과거 채널 폐쇄, 이후에도 상처 경험</x:v>
      </x:c>
      <x:c r="G8" s="35" t="str">
        <x:f>'악플피해_근거'!S7</x:f>
        <x:v>악플이 실제 채널 폐쇄로 이어진 공개 사례라 문제의 심각도와 서비스 존재 이유가 매우 선명함. 다만 현재 활동 여부 확인이 선행되어야 함.</x:v>
      </x:c>
      <x:c r="H8" s="35" t="str">
        <x:f>'악플피해_근거'!T7</x:f>
        <x:v>과거 악성 댓글 때문에 채널을 닫은 경험이 있었다는 보도를 접했습니다. 현재 활동 중이시라면 원문 노출을 줄이는 작은 실험을 조심스럽게 제안드리고 싶습니다.</x:v>
      </x:c>
      <x:c r="I8" s="35" t="str">
        <x:v>현재 운영 채널이 확인될 때만 공개 영상 20개 댓글로 비노출 요약 샘플 제공.</x:v>
      </x:c>
      <x:c r="J8" s="35" t="str">
        <x:v>발송 전 현재 공식 채널·공개 연락처 확인 필요</x:v>
      </x:c>
      <x:c r="K8" s="35" t="str">
        <x:v>현재 활동·공식 연락처 재확인</x:v>
      </x:c>
      <x:c r="L8" s="35" t="str">
        <x:v>미발송</x:v>
      </x:c>
    </x:row>
    <x:row r="9" ht="68" customHeight="1">
      <x:c r="A9" s="37" t="n">
        <x:f>'악플피해_근거'!A8</x:f>
        <x:v>4</x:v>
      </x:c>
      <x:c r="B9" s="37" t="str">
        <x:f>'악플피해_근거'!B8</x:f>
        <x:v>1차</x:v>
      </x:c>
      <x:c r="C9" s="37" t="str">
        <x:f>'악플피해_근거'!C8</x:f>
        <x:v>위라클 WERACLE</x:v>
      </x:c>
      <x:c r="D9" s="37" t="str">
        <x:f>'악플피해_근거'!E8</x:f>
        <x:v>A</x:v>
      </x:c>
      <x:c r="E9" s="37" t="n">
        <x:f>'악플피해_근거'!O8</x:f>
        <x:v>86</x:v>
      </x:c>
      <x:c r="F9" s="35" t="str">
        <x:f>'악플피해_근거'!I8</x:f>
        <x:v>최근 정서적 고통 공개, 눈물</x:v>
      </x:c>
      <x:c r="G9" s="35" t="str">
        <x:f>'악플피해_근거'!S8</x:f>
        <x:v>피해가 최근이며 관계·돌봄을 왜곡하는 댓글을 숨기고 건설적 반응만 남기는 가치가 명확함. 다만 대형 채널이라 담당자 접근 난도가 높음.</x:v>
      </x:c>
      <x:c r="H9" s="35" t="str">
        <x:f>'악플피해_근거'!T8</x:f>
        <x:v>최근 두 분을 향한 악성 댓글 때문에 많이 힘드셨다는 말씀을 접했습니다. 그 표현을 다시 보여드리지 않고도 필요한 반응만 남기는 방식을 제안드립니다.</x:v>
      </x:c>
      <x:c r="I9" s="35" t="str">
        <x:v>최근 영상 댓글 50개를 관계 공격·질문·응원·콘텐츠 요청으로 분류한 비노출 요약 제공.</x:v>
      </x:c>
      <x:c r="J9" s="35" t="str">
        <x:v>https://www.youtube.com/@weracle/about</x:v>
      </x:c>
      <x:c r="K9" s="35" t="str">
        <x:v>현재 활동·공식 연락처 재확인</x:v>
      </x:c>
      <x:c r="L9" s="35" t="str">
        <x:v>미발송</x:v>
      </x:c>
    </x:row>
    <x:row r="10" ht="68" customHeight="1">
      <x:c r="A10" s="37" t="n">
        <x:f>'악플피해_근거'!A9</x:f>
        <x:v>5</x:v>
      </x:c>
      <x:c r="B10" s="37" t="str">
        <x:f>'악플피해_근거'!B9</x:f>
        <x:v>2차</x:v>
      </x:c>
      <x:c r="C10" s="37" t="str">
        <x:f>'악플피해_근거'!C9</x:f>
        <x:v>쯔양</x:v>
      </x:c>
      <x:c r="D10" s="37" t="str">
        <x:f>'악플피해_근거'!E9</x:f>
        <x:v>B</x:v>
      </x:c>
      <x:c r="E10" s="37" t="n">
        <x:f>'악플피해_근거'!O9</x:f>
        <x:v>78</x:v>
      </x:c>
      <x:c r="F10" s="35" t="str">
        <x:f>'악플피해_근거'!I9</x:f>
        <x:v>법적 대응·손해배상 판결</x:v>
      </x:c>
      <x:c r="G10" s="35" t="str">
        <x:f>'악플피해_근거'!S9</x:f>
        <x:v>피해는 가장 심각한 축이지만 CrowdSift의 댓글 분류만으로 해결 가능한 범위를 넘어섬. 초기 제품 검증보다 장기 전략·안전 자문 후보.</x:v>
      </x:c>
      <x:c r="H10" s="35" t="str">
        <x:f>'악플피해_근거'!T9</x:f>
        <x:v>온라인 괴롭힘 피해를 공개하신 내용을 접했습니다. 저희가 해결할 수 있는 범위는 댓글 원문 노출을 줄이는 일로 한정해 조심스럽게 제안드립니다.</x:v>
      </x:c>
      <x:c r="I10" s="35" t="str">
        <x:v>법률·안전 대응이 아닌 공개 댓글 비노출 분류 범위만 명확히 한 샘플 제안.</x:v>
      </x:c>
      <x:c r="J10" s="35" t="str">
        <x:v>https://www.youtube.com/@tzuyang6145/about</x:v>
      </x:c>
      <x:c r="K10" s="35" t="str">
        <x:v>현재 활동·공식 연락처 재확인</x:v>
      </x:c>
      <x:c r="L10" s="35" t="str">
        <x:v>미발송</x:v>
      </x:c>
    </x:row>
    <x:row r="11" ht="68" customHeight="1">
      <x:c r="A11" s="37" t="n">
        <x:f>'악플피해_근거'!A10</x:f>
        <x:v>6</x:v>
      </x:c>
      <x:c r="B11" s="37" t="str">
        <x:f>'악플피해_근거'!B10</x:f>
        <x:v>2차</x:v>
      </x:c>
      <x:c r="C11" s="37" t="str">
        <x:f>'악플피해_근거'!C10</x:f>
        <x:v>진정부부</x:v>
      </x:c>
      <x:c r="D11" s="37" t="str">
        <x:f>'악플피해_근거'!E10</x:f>
        <x:v>B</x:v>
      </x:c>
      <x:c r="E11" s="37" t="n">
        <x:f>'악플피해_근거'!O10</x:f>
        <x:v>73</x:v>
      </x:c>
      <x:c r="F11" s="35" t="str">
        <x:f>'악플피해_근거'!I10</x:f>
        <x:v>장기간 스트레스 공개; 활동 중단의 주된 이유는 자녀 사생활·안전 우려</x:v>
      </x:c>
      <x:c r="G11" s="35" t="str">
        <x:f>'악플피해_근거'!S10</x:f>
        <x:v>악플 스트레스를 본인이 명시했고 최근 채널 활동도 확인되지만, 아동·가족 사생활 보호가 우선인 채널이라 접촉 문구와 데이터 취급을 매우 보수적으로 해야 함.</x:v>
      </x:c>
      <x:c r="H11" s="35" t="str">
        <x:f>'악플피해_근거'!T10</x:f>
        <x:v>오랜 채널 운영 초기에 악성 댓글로 큰 스트레스를 겪으셨다는 말씀을 읽었습니다. 가족 관련 원문을 다시 노출하지 않는 방식만 조심스럽게 제안드립니다.</x:v>
      </x:c>
      <x:c r="I11" s="35" t="str">
        <x:v>아동 관련 개인정보·위치 추정 댓글은 별도 위험군으로 분리하고 원문을 보여주지 않는 요약 제공.</x:v>
      </x:c>
      <x:c r="J11" s="35" t="str">
        <x:v>https://www.youtube.com/@jinjeongbubu/about</x:v>
      </x:c>
      <x:c r="K11" s="35" t="str">
        <x:v>현재 활동·공식 연락처 재확인</x:v>
      </x:c>
      <x:c r="L11" s="35" t="str">
        <x:v>미발송</x:v>
      </x:c>
    </x:row>
    <x:row r="12" ht="68" customHeight="1">
      <x:c r="A12" s="37" t="n">
        <x:f>'악플피해_근거'!A11</x:f>
        <x:v>7</x:v>
      </x:c>
      <x:c r="B12" s="37" t="str">
        <x:f>'악플피해_근거'!B11</x:f>
        <x:v>2차</x:v>
      </x:c>
      <x:c r="C12" s="37" t="str">
        <x:f>'악플피해_근거'!C11</x:f>
        <x:v>코노(틱장애 콘텐츠)</x:v>
      </x:c>
      <x:c r="D12" s="37" t="str">
        <x:f>'악플피해_근거'!E11</x:f>
        <x:v>B</x:v>
      </x:c>
      <x:c r="E12" s="37" t="n">
        <x:f>'악플피해_근거'!O11</x:f>
        <x:v>72</x:v>
      </x:c>
      <x:c r="F12" s="35" t="str">
        <x:f>'악플피해_근거'!I11</x:f>
        <x:v>진료 사실 공개 등 방어적 대응</x:v>
      </x:c>
      <x:c r="G12" s="35" t="str">
        <x:f>'악플피해_근거'!S11</x:f>
        <x:v>근거 없는 사칭 의혹이 실제 당사자에게 번지는 전형적 패턴. 다만 사례가 오래됐고 현재 공식 채널·활동 여부를 확인해야 함.</x:v>
      </x:c>
      <x:c r="H12" s="35" t="str">
        <x:f>'악플피해_근거'!T11</x:f>
        <x:v>과거 다른 채널의 논란 때문에 본인에게까지 사칭 의혹성 댓글이 번졌다는 보도를 접했습니다. 현재 활동 중이시라면 비노출 분류를 제안드리고 싶습니다.</x:v>
      </x:c>
      <x:c r="I12" s="35" t="str">
        <x:v>현재 공식 채널과 활동 여부를 확인한 뒤에만 20댓글 샘플 제안.</x:v>
      </x:c>
      <x:c r="J12" s="35" t="str">
        <x:v>발송 전 현재 공식 채널·공개 연락처 확인 필요</x:v>
      </x:c>
      <x:c r="K12" s="35" t="str">
        <x:v>현재 활동·공식 연락처 재확인</x:v>
      </x:c>
      <x:c r="L12" s="35" t="str">
        <x:v>미발송</x:v>
      </x:c>
    </x:row>
    <x:row r="13" ht="68" customHeight="1">
      <x:c r="A13" s="37" t="n">
        <x:f>'악플피해_근거'!A12</x:f>
        <x:v>8</x:v>
      </x:c>
      <x:c r="B13" s="37" t="str">
        <x:f>'악플피해_근거'!B12</x:f>
        <x:v>2차</x:v>
      </x:c>
      <x:c r="C13" s="37" t="str">
        <x:f>'악플피해_근거'!C12</x:f>
        <x:v>빠니보틀</x:v>
      </x:c>
      <x:c r="D13" s="37" t="str">
        <x:f>'악플피해_근거'!E12</x:f>
        <x:v>B</x:v>
      </x:c>
      <x:c r="E13" s="37" t="n">
        <x:f>'악플피해_근거'!O12</x:f>
        <x:v>65</x:v>
      </x:c>
      <x:c r="F13" s="35" t="str">
        <x:f>'악플피해_근거'!I12</x:f>
        <x:v>본인 공개 해명</x:v>
      </x:c>
      <x:c r="G13" s="35" t="str">
        <x:f>'악플피해_근거'!S12</x:f>
        <x:v>여행 정보·질문과 국가 관련 공격이 섞이는 댓글 구조는 제품 적합도가 높지만, 심각한 정서 피해의 직접 공개 근거는 상위 후보보다 약함.</x:v>
      </x:c>
      <x:c r="H13" s="35" t="str">
        <x:f>'악플피해_근거'!T12</x:f>
        <x:v>여행 영상의 정보성 댓글과 국가·정치 프레임의 공격성 댓글이 뒤섞이는 부담을 줄이는 방식으로 제안드립니다.</x:v>
      </x:c>
      <x:c r="I13" s="35" t="str">
        <x:v>여행 정보 보완·질문·다음 목적지 요청과 공격성 반응을 분리한 샘플.</x:v>
      </x:c>
      <x:c r="J13" s="35" t="str">
        <x:v>https://www.youtube.com/@PaniBottle/about</x:v>
      </x:c>
      <x:c r="K13" s="35" t="str">
        <x:v>현재 활동·공식 연락처 재확인</x:v>
      </x:c>
      <x:c r="L13" s="35" t="str">
        <x:v>미발송</x:v>
      </x:c>
    </x:row>
    <x:row r="14" ht="68" customHeight="1">
      <x:c r="A14" s="37" t="n">
        <x:f>'악플피해_근거'!A13</x:f>
        <x:v>9</x:v>
      </x:c>
      <x:c r="B14" s="37" t="str">
        <x:f>'악플피해_근거'!B13</x:f>
        <x:v>보류</x:v>
      </x:c>
      <x:c r="C14" s="37" t="str">
        <x:f>'악플피해_근거'!C13</x:f>
        <x:v>개과천선 서인영</x:v>
      </x:c>
      <x:c r="D14" s="37" t="str">
        <x:f>'악플피해_근거'!E13</x:f>
        <x:v>C</x:v>
      </x:c>
      <x:c r="E14" s="37" t="n">
        <x:f>'악플피해_근거'!O13</x:f>
        <x:v>57</x:v>
      </x:c>
      <x:c r="F14" s="35" t="str">
        <x:f>'악플피해_근거'!I13</x:f>
        <x:v>악플 읽기 콘텐츠로 정면 대응</x:v>
      </x:c>
      <x:c r="G14" s="35" t="str">
        <x:f>'악플피해_근거'!S13</x:f>
        <x:v>댓글 노출은 분명하지만 이를 고통으로 추정하면 안 됨. 제품 인터뷰보다 악플을 콘텐츠로 활용하는 반대 사례 연구 가치가 큼.</x:v>
      </x:c>
      <x:c r="H14" s="35" t="str">
        <x:f>'악플피해_근거'!T13</x:f>
        <x:v>추가 확인 전 작성하지 않음.</x:v>
      </x:c>
      <x:c r="I14" s="35" t="str">
        <x:v>연락 보류. 채널 영상에서 원문 노출 부담을 직접 말했는지 먼저 확인.</x:v>
      </x:c>
      <x:c r="J14" s="35" t="str">
        <x:v>추가 확인 전 연락 보류</x:v>
      </x:c>
      <x:c r="K14" s="35" t="str">
        <x:v>추가 근거 필요</x:v>
      </x:c>
      <x:c r="L14" s="35" t="str">
        <x:v>미발송</x:v>
      </x:c>
    </x:row>
    <x:row r="15" ht="68" customHeight="1">
      <x:c r="A15" s="38" t="n">
        <x:f>'악플피해_근거'!A14</x:f>
        <x:v>10</x:v>
      </x:c>
      <x:c r="B15" s="38" t="str">
        <x:f>'악플피해_근거'!B14</x:f>
        <x:v>보류</x:v>
      </x:c>
      <x:c r="C15" s="38" t="str">
        <x:f>'악플피해_근거'!C14</x:f>
        <x:v>하개월</x:v>
      </x:c>
      <x:c r="D15" s="38" t="str">
        <x:f>'악플피해_근거'!E14</x:f>
        <x:v>C</x:v>
      </x:c>
      <x:c r="E15" s="38" t="n">
        <x:f>'악플피해_근거'!O14</x:f>
        <x:v>37</x:v>
      </x:c>
      <x:c r="F15" s="36" t="str">
        <x:f>'악플피해_근거'!I14</x:f>
        <x:v>미확인</x:v>
      </x:c>
      <x:c r="G15" s="36" t="str">
        <x:f>'악플피해_근거'!S14</x:f>
        <x:v>서비스 인터뷰 후보로는 검토할 수 있지만 ‘악플 피해자’로 분류할 근거가 부족함. 사용자 요청에 맞춰 조사 대기열에만 둠.</x:v>
      </x:c>
      <x:c r="H15" s="36" t="str">
        <x:f>'악플피해_근거'!T14</x:f>
        <x:v>추가 확인 전 작성하지 않음.</x:v>
      </x:c>
      <x:c r="I15" s="36" t="str">
        <x:v>연락 보류. 본인 공개 피해 근거와 현재 활동을 먼저 확인.</x:v>
      </x:c>
      <x:c r="J15" s="36" t="str">
        <x:v>추가 확인 전 연락 보류</x:v>
      </x:c>
      <x:c r="K15" s="36" t="str">
        <x:v>추가 근거 필요</x:v>
      </x:c>
      <x:c r="L15" s="36" t="str">
        <x:v>미발송</x:v>
      </x:c>
    </x:row>
  </x:sheetData>
  <x:mergeCells>
    <x:mergeCell ref="A1:L1"/>
    <x:mergeCell ref="A2:L2"/>
  </x:mergeCells>
  <x:conditionalFormatting sqref="E6:E15">
    <x:cfRule type="dataBar" priority="1">
      <x:dataBar>
        <x:cfvo type="min"/>
        <x:cfvo type="max"/>
        <x:color rgb="FF0F766E"/>
      </x:dataBar>
      <x:extLst>
        <x:ext xmlns:x14="http://schemas.microsoft.com/office/spreadsheetml/2009/9/main" uri="{B025F937-C7B1-47D3-B67F-A62EFF666E3E}">
          <x14:id>{BA3CF3DD-DC4B-CA64-3DEA-46C6CCCAAB8D}</x14:id>
        </x:ext>
      </x:extLst>
    </x:cfRule>
  </x:conditionalFormatting>
  <x:conditionalFormatting sqref="B6:B15">
    <x:cfRule type="containsText" dxfId="3" priority="2" operator="containsText" text="1차"/>
    <x:cfRule type="containsText" dxfId="4" priority="3" operator="containsText" text="2차"/>
    <x:cfRule type="containsText" dxfId="5" priority="4" operator="containsText" text="보류"/>
  </x:conditionalFormatting>
  <x:dataValidations count="1">
    <x:dataValidation type="list" sqref="L6:L15">
      <x:formula1>"미발송,초안완료,발송,답변,미회신,제외"</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BA3CF3DD-DC4B-CA64-3DEA-46C6CCCAAB8D}">
            <x14:dataBar gradient="1">
              <x14:cfvo type="min"/>
              <x14:cfvo type="max"/>
              <x14:fillColor rgb="FF0F766E"/>
            </x14:dataBar>
          </x14:cfRule>
          <xm:sqref>E6:E15</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1" hidden="0" customWidth="1"/>
    <x:col min="3" max="3" width="24" hidden="0" customWidth="1"/>
    <x:col min="4" max="4" width="18" hidden="0" customWidth="1"/>
    <x:col min="5" max="5" width="13" hidden="0" customWidth="1"/>
    <x:col min="6" max="6" width="13" hidden="0" customWidth="1"/>
    <x:col min="7" max="7" width="34" hidden="0" customWidth="1"/>
    <x:col min="8" max="8" width="34" hidden="0" customWidth="1"/>
    <x:col min="9" max="9" width="34"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36" hidden="0" customWidth="1"/>
    <x:col min="17" max="17" width="36" hidden="0" customWidth="1"/>
    <x:col min="18" max="18" width="36" hidden="0" customWidth="1"/>
    <x:col min="19" max="19" width="40" hidden="0" customWidth="1"/>
    <x:col min="20" max="20" width="40" hidden="0" customWidth="1"/>
    <x:col min="21" max="21" width="40" hidden="0" customWidth="1"/>
  </x:cols>
  <x:sheetData>
    <x:row r="1" ht="36" customHeight="1">
      <x:c r="A1" s="3" t="str">
        <x:v>악플 피해 공개 근거와 우선순위 원자료</x:v>
      </x:c>
      <x:c r="B1" s="3"/>
      <x:c r="C1" s="3"/>
      <x:c r="D1" s="3"/>
      <x:c r="E1" s="3"/>
      <x:c r="F1" s="3"/>
      <x:c r="G1" s="3"/>
      <x:c r="H1" s="3"/>
      <x:c r="I1" s="3"/>
      <x:c r="J1" s="3"/>
      <x:c r="K1" s="3"/>
      <x:c r="L1" s="3"/>
      <x:c r="M1" s="3"/>
      <x:c r="N1" s="3"/>
      <x:c r="O1" s="3"/>
      <x:c r="P1" s="3"/>
      <x:c r="Q1" s="3"/>
      <x:c r="R1" s="3"/>
      <x:c r="S1" s="3"/>
      <x:c r="T1" s="3"/>
      <x:c r="U1" s="3"/>
    </x:row>
    <x:row r="2">
      <x:c r="A2" s="27" t="str">
        <x:v>리서치 기준일 2026-07-29. 악플 문구 자체는 불필요하게 복제하지 않고, 피해 유형과 공개 행동만 요약했습니다. 모든 발송은 현재 활동과 공식 연락처를 다시 확인한 뒤 진행하세요.</x:v>
      </x:c>
      <x:c r="B2" s="27"/>
      <x:c r="C2" s="27"/>
      <x:c r="D2" s="27"/>
      <x:c r="E2" s="27"/>
      <x:c r="F2" s="27"/>
      <x:c r="G2" s="27"/>
      <x:c r="H2" s="27"/>
      <x:c r="I2" s="27"/>
      <x:c r="J2" s="27"/>
      <x:c r="K2" s="27"/>
      <x:c r="L2" s="27"/>
      <x:c r="M2" s="27"/>
      <x:c r="N2" s="27"/>
      <x:c r="O2" s="27"/>
      <x:c r="P2" s="27"/>
      <x:c r="Q2" s="27"/>
      <x:c r="R2" s="27"/>
      <x:c r="S2" s="27"/>
      <x:c r="T2" s="27"/>
      <x:c r="U2" s="27"/>
    </x:row>
    <x:row r="4" ht="44" customHeight="1">
      <x:c r="A4" s="30" t="str">
        <x:v>순위</x:v>
      </x:c>
      <x:c r="B4" s="30" t="str">
        <x:v>웨이브</x:v>
      </x:c>
      <x:c r="C4" s="30" t="str">
        <x:v>채널</x:v>
      </x:c>
      <x:c r="D4" s="30" t="str">
        <x:v>분야</x:v>
      </x:c>
      <x:c r="E4" s="30" t="str">
        <x:v>근거등급</x:v>
      </x:c>
      <x:c r="F4" s="30" t="str">
        <x:v>근거일</x:v>
      </x:c>
      <x:c r="G4" s="30" t="str">
        <x:v>공개 피해 요약</x:v>
      </x:c>
      <x:c r="H4" s="30" t="str">
        <x:v>악플 유형</x:v>
      </x:c>
      <x:c r="I4" s="30" t="str">
        <x:v>확인된 결과/행동</x:v>
      </x:c>
      <x:c r="J4" s="30" t="str">
        <x:v>피해근거</x:v>
      </x:c>
      <x:c r="K4" s="30" t="str">
        <x:v>심각도</x:v>
      </x:c>
      <x:c r="L4" s="30" t="str">
        <x:v>제품적합</x:v>
      </x:c>
      <x:c r="M4" s="30" t="str">
        <x:v>활동성</x:v>
      </x:c>
      <x:c r="N4" s="30" t="str">
        <x:v>접근성</x:v>
      </x:c>
      <x:c r="O4" s="30" t="str">
        <x:v>종합점수</x:v>
      </x:c>
      <x:c r="P4" s="30" t="str">
        <x:v>공식/검색 YouTube</x:v>
      </x:c>
      <x:c r="Q4" s="30" t="str">
        <x:v>직접 근거</x:v>
      </x:c>
      <x:c r="R4" s="30" t="str">
        <x:v>보조 기사</x:v>
      </x:c>
      <x:c r="S4" s="30" t="str">
        <x:v>선정 근거</x:v>
      </x:c>
      <x:c r="T4" s="30" t="str">
        <x:v>개별화 첫 문장</x:v>
      </x:c>
      <x:c r="U4" s="30" t="str">
        <x:v>주의사항</x:v>
      </x:c>
    </x:row>
    <x:row r="5" ht="72" customHeight="1">
      <x:c r="A5" s="37" t="n">
        <x:v>1</x:v>
      </x:c>
      <x:c r="B5" s="37" t="str">
        <x:v>1차</x:v>
      </x:c>
      <x:c r="C5" s="37" t="str">
        <x:v>원샷한솔</x:v>
      </x:c>
      <x:c r="D5" s="37" t="str">
        <x:v>장애 인식·일상</x:v>
      </x:c>
      <x:c r="E5" s="37" t="str">
        <x:v>A</x:v>
      </x:c>
      <x:c r="F5" s="39" t="n">
        <x:v>46116</x:v>
      </x:c>
      <x:c r="G5" s="35" t="str">
        <x:v>본인 채널에서 반복되는 악성 댓글을 직접 읽고 대응. 약 7년간 시각장애를 사칭한다는 취지의 공격이 이어졌다고 밝혔고, 일부 댓글에는 말문이 막히고 눈물을 보임.</x:v>
      </x:c>
      <x:c r="H5" s="35" t="str">
        <x:v>장애 사칭 의혹·존재 부정·반복 인신공격</x:v>
      </x:c>
      <x:c r="I5" s="35" t="str">
        <x:v>반복 피해 공개, 영상에서 정서적 고통 표출</x:v>
      </x:c>
      <x:c r="J5" s="41" t="n">
        <x:v>5</x:v>
      </x:c>
      <x:c r="K5" s="41" t="n">
        <x:v>5</x:v>
      </x:c>
      <x:c r="L5" s="41" t="n">
        <x:v>5</x:v>
      </x:c>
      <x:c r="M5" s="41" t="n">
        <x:v>5</x:v>
      </x:c>
      <x:c r="N5" s="41" t="n">
        <x:v>3</x:v>
      </x:c>
      <x:c r="O5" s="41" t="n">
        <x:f>ROUND((J5*'점수기준'!$B$5+K5*'점수기준'!$B$6+L5*'점수기준'!$B$7+M5*'점수기준'!$B$8+N5*'점수기준'!$B$9)*20,0)</x:f>
        <x:v>96</x:v>
      </x:c>
      <x:c r="P5" s="35" t="str">
        <x:v>https://www.youtube.com/@oneshothansol</x:v>
      </x:c>
      <x:c r="Q5" s="35" t="str">
        <x:v>https://www.youtube.com/watch?v=BsYtiwp2uHI&amp;t=313s</x:v>
      </x:c>
      <x:c r="R5" s="35" t="str">
        <x:v>https://www.xportsnews.com/article/2131943</x:v>
      </x:c>
      <x:c r="S5" s="35" t="str">
        <x:v>최근 본인이 직접 피해를 공개했고, 순수 비난을 가리는 기능과 거친 표현 속 개선 신호를 순화하는 기능을 모두 설명하기 가장 좋은 사례.</x:v>
      </x:c>
      <x:c r="T5" s="35" t="str">
        <x:v>최근 영상에서 오랫동안 반복된 악성 댓글을 직접 읽으며 힘들어하신 내용을 봤습니다. 그 원문을 다시 인용하지 않고도 부담을 줄일 방법을 제안드리고 싶었습니다.</x:v>
      </x:c>
      <x:c r="U5" s="35" t="str">
        <x:v>장애 자체가 아니라 본인이 공개한 반복 피해를 근거로 선정. 메일에서 악성 문구를 재인용하지 않음.</x:v>
      </x:c>
    </x:row>
    <x:row r="6" ht="72" customHeight="1">
      <x:c r="A6" s="37" t="n">
        <x:v>2</x:v>
      </x:c>
      <x:c r="B6" s="37" t="str">
        <x:v>1차</x:v>
      </x:c>
      <x:c r="C6" s="37" t="str">
        <x:v>굴러라 구르님</x:v>
      </x:c>
      <x:c r="D6" s="37" t="str">
        <x:v>장애 인식·일상</x:v>
      </x:c>
      <x:c r="E6" s="37" t="str">
        <x:v>A</x:v>
      </x:c>
      <x:c r="F6" s="39" t="n">
        <x:v>45263</x:v>
      </x:c>
      <x:c r="G6" s="35" t="str">
        <x:v>인터뷰에서 유쾌하게 장애 이야기를 해도 악성 댓글이 붙는 현실과 그 부담을 직접 언급. 과거 채널에는 '휠체어 타면 듣는 악플 읽기' 콘텐츠도 확인됨.</x:v>
      </x:c>
      <x:c r="H6" s="35" t="str">
        <x:v>장애 혐오·성별화된 공격·일상에 대한 조롱</x:v>
      </x:c>
      <x:c r="I6" s="35" t="str">
        <x:v>반복 악플 경험 공개, 직접 대응 콘텐츠 제작</x:v>
      </x:c>
      <x:c r="J6" s="41" t="n">
        <x:v>5</x:v>
      </x:c>
      <x:c r="K6" s="41" t="n">
        <x:v>4</x:v>
      </x:c>
      <x:c r="L6" s="41" t="n">
        <x:v>5</x:v>
      </x:c>
      <x:c r="M6" s="41" t="n">
        <x:v>4</x:v>
      </x:c>
      <x:c r="N6" s="41" t="n">
        <x:v>5</x:v>
      </x:c>
      <x:c r="O6" s="41" t="n">
        <x:f>ROUND((J6*'점수기준'!$B$5+K6*'점수기준'!$B$6+L6*'점수기준'!$B$7+M6*'점수기준'!$B$8+N6*'점수기준'!$B$9)*20,0)</x:f>
        <x:v>93</x:v>
      </x:c>
      <x:c r="P6" s="35" t="str">
        <x:v>https://www.youtube.com/results?search_query=%EA%B5%B4%EB%9F%AC%EB%9D%BC+%EA%B5%AC%EB%A5%B4%EB%8B%98</x:v>
      </x:c>
      <x:c r="Q6" s="35" t="str">
        <x:v>https://news.nate.com/view/20190918n41819</x:v>
      </x:c>
      <x:c r="R6" s="35" t="str">
        <x:v>https://v.daum.net/v/UgIsrkD74f</x:v>
      </x:c>
      <x:c r="S6" s="35" t="str">
        <x:v>본인이 악플 경험을 공개했고 개인 크리에이터 성격이 강해, 정서적 안전과 실용적 피드백 분리를 함께 검증할 초기 인터뷰 파트너로 적합.</x:v>
      </x:c>
      <x:c r="T6" s="35" t="str">
        <x:v>장애를 유쾌하게 이야기해도 악플이 붙는다는 인터뷰를 읽었습니다. 원문을 직접 보지 않아도 필요한 반응만 남기는 방식을 함께 검증해보고 싶습니다.</x:v>
      </x:c>
      <x:c r="U6" s="35" t="str">
        <x:v>공식 채널 URL은 링크트리에서 발송 직전 재확인. 정체성이나 장애를 영업 타깃 점수로 사용하지 않음.</x:v>
      </x:c>
    </x:row>
    <x:row r="7" ht="72" customHeight="1">
      <x:c r="A7" s="37" t="n">
        <x:v>3</x:v>
      </x:c>
      <x:c r="B7" s="37" t="str">
        <x:v>1차</x:v>
      </x:c>
      <x:c r="C7" s="37" t="str">
        <x:v>노래하는 민이</x:v>
      </x:c>
      <x:c r="D7" s="37" t="str">
        <x:v>노래·일상</x:v>
      </x:c>
      <x:c r="E7" s="37" t="str">
        <x:v>B</x:v>
      </x:c>
      <x:c r="F7" s="39" t="n">
        <x:v>43797</x:v>
      </x:c>
      <x:c r="G7" s="35" t="str">
        <x:v>보도에 따르면 과거 악성 댓글 때문에 유튜브 채널을 폐쇄한 적이 있고, 이후에도 장애를 연기한다는 취지의 댓글에 상처받은 경험이 있음.</x:v>
      </x:c>
      <x:c r="H7" s="35" t="str">
        <x:v>장애 사칭 의혹·인신공격</x:v>
      </x:c>
      <x:c r="I7" s="35" t="str">
        <x:v>과거 채널 폐쇄, 이후에도 상처 경험</x:v>
      </x:c>
      <x:c r="J7" s="41" t="n">
        <x:v>4</x:v>
      </x:c>
      <x:c r="K7" s="41" t="n">
        <x:v>5</x:v>
      </x:c>
      <x:c r="L7" s="41" t="n">
        <x:v>5</x:v>
      </x:c>
      <x:c r="M7" s="41" t="n">
        <x:v>1</x:v>
      </x:c>
      <x:c r="N7" s="41" t="n">
        <x:v>4</x:v>
      </x:c>
      <x:c r="O7" s="41" t="n">
        <x:f>ROUND((J7*'점수기준'!$B$5+K7*'점수기준'!$B$6+L7*'점수기준'!$B$7+M7*'점수기준'!$B$8+N7*'점수기준'!$B$9)*20,0)</x:f>
        <x:v>82</x:v>
      </x:c>
      <x:c r="P7" s="35" t="str">
        <x:v>https://www.youtube.com/results?search_query=%EB%85%B8%EB%9E%98%ED%95%98%EB%8A%94+%EB%AF%BC%EC%9D%B4</x:v>
      </x:c>
      <x:c r="Q7" s="35" t="str">
        <x:v>https://v.daum.net/v/20191128092704854</x:v>
      </x:c>
      <x:c r="R7" s="35" t="str">
        <x:v>https://v.daum.net/v/20191128092704854</x:v>
      </x:c>
      <x:c r="S7" s="35" t="str">
        <x:v>악플이 실제 채널 폐쇄로 이어진 공개 사례라 문제의 심각도와 서비스 존재 이유가 매우 선명함. 다만 현재 활동 여부 확인이 선행되어야 함.</x:v>
      </x:c>
      <x:c r="T7" s="35" t="str">
        <x:v>과거 악성 댓글 때문에 채널을 닫은 경험이 있었다는 보도를 접했습니다. 현재 활동 중이시라면 원문 노출을 줄이는 작은 실험을 조심스럽게 제안드리고 싶습니다.</x:v>
      </x:c>
      <x:c r="U7" s="35" t="str">
        <x:v>근거는 강하지만 오래된 사례. 현재 활동·본인 의사·공개 연락처 확인 전에는 발송하지 않음.</x:v>
      </x:c>
    </x:row>
    <x:row r="8" ht="72" customHeight="1">
      <x:c r="A8" s="37" t="n">
        <x:v>4</x:v>
      </x:c>
      <x:c r="B8" s="37" t="str">
        <x:v>1차</x:v>
      </x:c>
      <x:c r="C8" s="37" t="str">
        <x:v>위라클 WERACLE</x:v>
      </x:c>
      <x:c r="D8" s="37" t="str">
        <x:v>장애 인식·인터뷰</x:v>
      </x:c>
      <x:c r="E8" s="37" t="str">
        <x:v>A</x:v>
      </x:c>
      <x:c r="F8" s="39" t="n">
        <x:v>46162</x:v>
      </x:c>
      <x:c r="G8" s="35" t="str">
        <x:v>최근 영상·방송에서 배우자에게 '무료 간병인' 프레임을 씌우는 악성 댓글로 많이 힘들었다고 직접 언급. 말이 사람을 죽이거나 살릴 수 있다며 눈물을 보인 내용이 보도됨.</x:v>
      </x:c>
      <x:c r="H8" s="35" t="str">
        <x:v>돌봄 관계 왜곡·배우자 공격·인신공격</x:v>
      </x:c>
      <x:c r="I8" s="35" t="str">
        <x:v>최근 정서적 고통 공개, 눈물</x:v>
      </x:c>
      <x:c r="J8" s="41" t="n">
        <x:v>5</x:v>
      </x:c>
      <x:c r="K8" s="41" t="n">
        <x:v>4</x:v>
      </x:c>
      <x:c r="L8" s="41" t="n">
        <x:v>4</x:v>
      </x:c>
      <x:c r="M8" s="41" t="n">
        <x:v>5</x:v>
      </x:c>
      <x:c r="N8" s="41" t="n">
        <x:v>2</x:v>
      </x:c>
      <x:c r="O8" s="41" t="n">
        <x:f>ROUND((J8*'점수기준'!$B$5+K8*'점수기준'!$B$6+L8*'점수기준'!$B$7+M8*'점수기준'!$B$8+N8*'점수기준'!$B$9)*20,0)</x:f>
        <x:v>86</x:v>
      </x:c>
      <x:c r="P8" s="35" t="str">
        <x:v>https://www.youtube.com/@weracle</x:v>
      </x:c>
      <x:c r="Q8" s="35" t="str">
        <x:v>https://www.tenasia.co.kr/article/2026052087854</x:v>
      </x:c>
      <x:c r="R8" s="35" t="str">
        <x:v>https://www.tenasia.co.kr/article/2026052087854</x:v>
      </x:c>
      <x:c r="S8" s="35" t="str">
        <x:v>피해가 최근이며 관계·돌봄을 왜곡하는 댓글을 숨기고 건설적 반응만 남기는 가치가 명확함. 다만 대형 채널이라 담당자 접근 난도가 높음.</x:v>
      </x:c>
      <x:c r="T8" s="35" t="str">
        <x:v>최근 두 분을 향한 악성 댓글 때문에 많이 힘드셨다는 말씀을 접했습니다. 그 표현을 다시 보여드리지 않고도 필요한 반응만 남기는 방식을 제안드립니다.</x:v>
      </x:c>
      <x:c r="U8" s="35" t="str">
        <x:v>대형 팀/법인 가능성. 일반 콜드메일보다 담당자·소개 경로를 우선 탐색.</x:v>
      </x:c>
    </x:row>
    <x:row r="9" ht="72" customHeight="1">
      <x:c r="A9" s="37" t="n">
        <x:v>5</x:v>
      </x:c>
      <x:c r="B9" s="37" t="str">
        <x:v>2차</x:v>
      </x:c>
      <x:c r="C9" s="37" t="str">
        <x:v>쯔양</x:v>
      </x:c>
      <x:c r="D9" s="37" t="str">
        <x:v>먹방·일상</x:v>
      </x:c>
      <x:c r="E9" s="37" t="str">
        <x:v>B</x:v>
      </x:c>
      <x:c r="F9" s="39" t="n">
        <x:v>46224</x:v>
      </x:c>
      <x:c r="G9" s="35" t="str">
        <x:v>사생활 폭로를 빌미로 한 협박과 온라인 괴롭힘 피해를 본인이 공개했고 관련 손해배상 판결이 보도됨. 피해 심각도는 매우 높으나 일반 댓글 운영 문제와는 일부 거리가 있음.</x:v>
      </x:c>
      <x:c r="H9" s="35" t="str">
        <x:v>조직적 온라인 괴롭힘·협박·사생활 공격</x:v>
      </x:c>
      <x:c r="I9" s="35" t="str">
        <x:v>법적 대응·손해배상 판결</x:v>
      </x:c>
      <x:c r="J9" s="41" t="n">
        <x:v>4</x:v>
      </x:c>
      <x:c r="K9" s="41" t="n">
        <x:v>5</x:v>
      </x:c>
      <x:c r="L9" s="41" t="n">
        <x:v>3</x:v>
      </x:c>
      <x:c r="M9" s="41" t="n">
        <x:v>5</x:v>
      </x:c>
      <x:c r="N9" s="41" t="n">
        <x:v>1</x:v>
      </x:c>
      <x:c r="O9" s="41" t="n">
        <x:f>ROUND((J9*'점수기준'!$B$5+K9*'점수기준'!$B$6+L9*'점수기준'!$B$7+M9*'점수기준'!$B$8+N9*'점수기준'!$B$9)*20,0)</x:f>
        <x:v>78</x:v>
      </x:c>
      <x:c r="P9" s="35" t="str">
        <x:v>https://www.youtube.com/@tzuyang6145</x:v>
      </x:c>
      <x:c r="Q9" s="35" t="str">
        <x:v>https://www.hani.co.kr/arti/society/society_general/1269245.html</x:v>
      </x:c>
      <x:c r="R9" s="35" t="str">
        <x:v>https://www.hani.co.kr/arti/society/society_general/1269245.html</x:v>
      </x:c>
      <x:c r="S9" s="35" t="str">
        <x:v>피해는 가장 심각한 축이지만 CrowdSift의 댓글 분류만으로 해결 가능한 범위를 넘어섬. 초기 제품 검증보다 장기 전략·안전 자문 후보.</x:v>
      </x:c>
      <x:c r="T9" s="35" t="str">
        <x:v>온라인 괴롭힘 피해를 공개하신 내용을 접했습니다. 저희가 해결할 수 있는 범위는 댓글 원문 노출을 줄이는 일로 한정해 조심스럽게 제안드립니다.</x:v>
      </x:c>
      <x:c r="U9" s="35" t="str">
        <x:v>피해를 영업 소재처럼 보이게 하지 않도록 각별히 주의. 법률·위기 대응 서비스로 오인시키지 않음.</x:v>
      </x:c>
    </x:row>
    <x:row r="10" ht="72" customHeight="1">
      <x:c r="A10" s="37" t="n">
        <x:v>6</x:v>
      </x:c>
      <x:c r="B10" s="37" t="str">
        <x:v>2차</x:v>
      </x:c>
      <x:c r="C10" s="37" t="str">
        <x:v>진정부부</x:v>
      </x:c>
      <x:c r="D10" s="37" t="str">
        <x:v>가족·육아</x:v>
      </x:c>
      <x:c r="E10" s="37" t="str">
        <x:v>B</x:v>
      </x:c>
      <x:c r="F10" s="39" t="n">
        <x:v>45261</x:v>
      </x:c>
      <x:c r="G10" s="35" t="str">
        <x:v>활동 중단 이유를 설명한 보도에서 4년 넘게 채널을 운영하며 초·중반 악성 댓글 때문에 큰 스트레스와 어려움을 겪었다고 직접 밝힘.</x:v>
      </x:c>
      <x:c r="H10" s="35" t="str">
        <x:v>가족·육아 방식 비난·사생활 공격</x:v>
      </x:c>
      <x:c r="I10" s="35" t="str">
        <x:v>장기간 스트레스 공개; 활동 중단의 주된 이유는 자녀 사생활·안전 우려</x:v>
      </x:c>
      <x:c r="J10" s="41" t="n">
        <x:v>4</x:v>
      </x:c>
      <x:c r="K10" s="41" t="n">
        <x:v>3</x:v>
      </x:c>
      <x:c r="L10" s="41" t="n">
        <x:v>4</x:v>
      </x:c>
      <x:c r="M10" s="41" t="n">
        <x:v>4</x:v>
      </x:c>
      <x:c r="N10" s="41" t="n">
        <x:v>3</x:v>
      </x:c>
      <x:c r="O10" s="41" t="n">
        <x:f>ROUND((J10*'점수기준'!$B$5+K10*'점수기준'!$B$6+L10*'점수기준'!$B$7+M10*'점수기준'!$B$8+N10*'점수기준'!$B$9)*20,0)</x:f>
        <x:v>73</x:v>
      </x:c>
      <x:c r="P10" s="35" t="str">
        <x:v>https://www.youtube.com/@jinjeongbubu</x:v>
      </x:c>
      <x:c r="Q10" s="35" t="str">
        <x:v>https://v.daum.net/v/20231201064544573?s=print_news</x:v>
      </x:c>
      <x:c r="R10" s="35" t="str">
        <x:v>https://v.daum.net/v/20231201064544573?s=print_news</x:v>
      </x:c>
      <x:c r="S10" s="35" t="str">
        <x:v>악플 스트레스를 본인이 명시했고 최근 채널 활동도 확인되지만, 아동·가족 사생활 보호가 우선인 채널이라 접촉 문구와 데이터 취급을 매우 보수적으로 해야 함.</x:v>
      </x:c>
      <x:c r="T10" s="35" t="str">
        <x:v>오랜 채널 운영 초기에 악성 댓글로 큰 스트레스를 겪으셨다는 말씀을 읽었습니다. 가족 관련 원문을 다시 노출하지 않는 방식만 조심스럽게 제안드립니다.</x:v>
      </x:c>
      <x:c r="U10" s="35" t="str">
        <x:v>아동 등장 채널. 공개 댓글만 사용하고 위치·개인정보는 저장/재노출하지 않는 원칙을 먼저 설명.</x:v>
      </x:c>
    </x:row>
    <x:row r="11" ht="72" customHeight="1">
      <x:c r="A11" s="37" t="n">
        <x:v>7</x:v>
      </x:c>
      <x:c r="B11" s="37" t="str">
        <x:v>2차</x:v>
      </x:c>
      <x:c r="C11" s="37" t="str">
        <x:v>코노(틱장애 콘텐츠)</x:v>
      </x:c>
      <x:c r="D11" s="37" t="str">
        <x:v>장애 인식·일상</x:v>
      </x:c>
      <x:c r="E11" s="37" t="str">
        <x:v>B</x:v>
      </x:c>
      <x:c r="F11" s="39" t="n">
        <x:v>43762</x:v>
      </x:c>
      <x:c r="G11" s="35" t="str">
        <x:v>다른 채널의 조작 논란이 번지며 본인에게도 장애를 연기한다는 취지의 악성 댓글이 달렸고, 진료 사실을 밝히는 등 즉시 대응한 것으로 보도됨.</x:v>
      </x:c>
      <x:c r="H11" s="35" t="str">
        <x:v>장애 사칭 의혹·조작 프레임</x:v>
      </x:c>
      <x:c r="I11" s="35" t="str">
        <x:v>진료 사실 공개 등 방어적 대응</x:v>
      </x:c>
      <x:c r="J11" s="41" t="n">
        <x:v>4</x:v>
      </x:c>
      <x:c r="K11" s="41" t="n">
        <x:v>4</x:v>
      </x:c>
      <x:c r="L11" s="41" t="n">
        <x:v>4</x:v>
      </x:c>
      <x:c r="M11" s="41" t="n">
        <x:v>1</x:v>
      </x:c>
      <x:c r="N11" s="41" t="n">
        <x:v>3</x:v>
      </x:c>
      <x:c r="O11" s="41" t="n">
        <x:f>ROUND((J11*'점수기준'!$B$5+K11*'점수기준'!$B$6+L11*'점수기준'!$B$7+M11*'점수기준'!$B$8+N11*'점수기준'!$B$9)*20,0)</x:f>
        <x:v>72</x:v>
      </x:c>
      <x:c r="P11" s="35" t="str">
        <x:v>https://www.youtube.com/results?search_query=%EC%BD%94%EB%85%B8+%ED%8B%B1%EC%9E%A5%EC%95%A0</x:v>
      </x:c>
      <x:c r="Q11" s="35" t="str">
        <x:v>https://v.daum.net/v/jQAHsnKfaM</x:v>
      </x:c>
      <x:c r="R11" s="35" t="str">
        <x:v>https://v.daum.net/v/jQAHsnKfaM</x:v>
      </x:c>
      <x:c r="S11" s="35" t="str">
        <x:v>근거 없는 사칭 의혹이 실제 당사자에게 번지는 전형적 패턴. 다만 사례가 오래됐고 현재 공식 채널·활동 여부를 확인해야 함.</x:v>
      </x:c>
      <x:c r="T11" s="35" t="str">
        <x:v>과거 다른 채널의 논란 때문에 본인에게까지 사칭 의혹성 댓글이 번졌다는 보도를 접했습니다. 현재 활동 중이시라면 비노출 분류를 제안드리고 싶습니다.</x:v>
      </x:c>
      <x:c r="U11" s="35" t="str">
        <x:v>동명이인 위험이 높음. 본인 채널 식별 전 연락 금지.</x:v>
      </x:c>
    </x:row>
    <x:row r="12" ht="72" customHeight="1">
      <x:c r="A12" s="37" t="n">
        <x:v>8</x:v>
      </x:c>
      <x:c r="B12" s="37" t="str">
        <x:v>2차</x:v>
      </x:c>
      <x:c r="C12" s="37" t="str">
        <x:v>빠니보틀</x:v>
      </x:c>
      <x:c r="D12" s="37" t="str">
        <x:v>여행</x:v>
      </x:c>
      <x:c r="E12" s="37" t="str">
        <x:v>B</x:v>
      </x:c>
      <x:c r="F12" s="39" t="n">
        <x:v>45423</x:v>
      </x:c>
      <x:c r="G12" s="35" t="str">
        <x:v>일본 여행 콘텐츠를 둘러싼 과도한 비난과 반일성 댓글이 이어져 본인이 해명 글을 올린 사례가 보도됨.</x:v>
      </x:c>
      <x:c r="H12" s="35" t="str">
        <x:v>국가·정치 프레임 공격·과도한 비난</x:v>
      </x:c>
      <x:c r="I12" s="35" t="str">
        <x:v>본인 공개 해명</x:v>
      </x:c>
      <x:c r="J12" s="41" t="n">
        <x:v>3</x:v>
      </x:c>
      <x:c r="K12" s="41" t="n">
        <x:v>3</x:v>
      </x:c>
      <x:c r="L12" s="41" t="n">
        <x:v>4</x:v>
      </x:c>
      <x:c r="M12" s="41" t="n">
        <x:v>5</x:v>
      </x:c>
      <x:c r="N12" s="41" t="n">
        <x:v>2</x:v>
      </x:c>
      <x:c r="O12" s="41" t="n">
        <x:f>ROUND((J12*'점수기준'!$B$5+K12*'점수기준'!$B$6+L12*'점수기준'!$B$7+M12*'점수기준'!$B$8+N12*'점수기준'!$B$9)*20,0)</x:f>
        <x:v>65</x:v>
      </x:c>
      <x:c r="P12" s="35" t="str">
        <x:v>https://www.youtube.com/@PaniBottle</x:v>
      </x:c>
      <x:c r="Q12" s="35" t="str">
        <x:v>https://www.fnnews.com/news/202405110501398062</x:v>
      </x:c>
      <x:c r="R12" s="35" t="str">
        <x:v>https://www.fnnews.com/news/202405110501398062</x:v>
      </x:c>
      <x:c r="S12" s="35" t="str">
        <x:v>여행 정보·질문과 국가 관련 공격이 섞이는 댓글 구조는 제품 적합도가 높지만, 심각한 정서 피해의 직접 공개 근거는 상위 후보보다 약함.</x:v>
      </x:c>
      <x:c r="T12" s="35" t="str">
        <x:v>여행 영상의 정보성 댓글과 국가·정치 프레임의 공격성 댓글이 뒤섞이는 부담을 줄이는 방식으로 제안드립니다.</x:v>
      </x:c>
      <x:c r="U12" s="35" t="str">
        <x:v>본인이 심한 스트레스를 호소했다고 단정하지 않음. ‘댓글 구조상 적합’으로만 설명.</x:v>
      </x:c>
    </x:row>
    <x:row r="13" ht="72" customHeight="1">
      <x:c r="A13" s="37" t="n">
        <x:v>9</x:v>
      </x:c>
      <x:c r="B13" s="37" t="str">
        <x:v>보류</x:v>
      </x:c>
      <x:c r="C13" s="37" t="str">
        <x:v>개과천선 서인영</x:v>
      </x:c>
      <x:c r="D13" s="37" t="str">
        <x:v>연예·일상</x:v>
      </x:c>
      <x:c r="E13" s="37" t="str">
        <x:v>C</x:v>
      </x:c>
      <x:c r="F13" s="39" t="n">
        <x:v>46159</x:v>
      </x:c>
      <x:c r="G13" s="35" t="str">
        <x:v>채널에서 본인을 둘러싼 악성 댓글을 직접 읽는 콘텐츠가 화제가 됐다는 보도는 있으나, CrowdSift가 해결하려는 원문 노출 부담을 본인이 문제로 규정했는지는 추가 확인 필요.</x:v>
      </x:c>
      <x:c r="H13" s="35" t="str">
        <x:v>과거 논란 관련 비난·인신공격</x:v>
      </x:c>
      <x:c r="I13" s="35" t="str">
        <x:v>악플 읽기 콘텐츠로 정면 대응</x:v>
      </x:c>
      <x:c r="J13" s="41" t="n">
        <x:v>3</x:v>
      </x:c>
      <x:c r="K13" s="41" t="n">
        <x:v>2</x:v>
      </x:c>
      <x:c r="L13" s="41" t="n">
        <x:v>3</x:v>
      </x:c>
      <x:c r="M13" s="41" t="n">
        <x:v>5</x:v>
      </x:c>
      <x:c r="N13" s="41" t="n">
        <x:v>2</x:v>
      </x:c>
      <x:c r="O13" s="41" t="n">
        <x:f>ROUND((J13*'점수기준'!$B$5+K13*'점수기준'!$B$6+L13*'점수기준'!$B$7+M13*'점수기준'!$B$8+N13*'점수기준'!$B$9)*20,0)</x:f>
        <x:v>57</x:v>
      </x:c>
      <x:c r="P13" s="35" t="str">
        <x:v>https://www.youtube.com/results?search_query=%EA%B0%9C%EA%B3%BC%EC%B2%9C%EC%84%A0+%EC%84%9C%EC%9D%B8%EC%98%81</x:v>
      </x:c>
      <x:c r="Q13" s="35" t="str">
        <x:v>https://www.yna.co.kr/amp/view/AKR20260516052000005</x:v>
      </x:c>
      <x:c r="R13" s="35" t="str">
        <x:v>https://www.yna.co.kr/amp/view/AKR20260516052000005</x:v>
      </x:c>
      <x:c r="S13" s="35" t="str">
        <x:v>댓글 노출은 분명하지만 이를 고통으로 추정하면 안 됨. 제품 인터뷰보다 악플을 콘텐츠로 활용하는 반대 사례 연구 가치가 큼.</x:v>
      </x:c>
      <x:c r="T13" s="35" t="str">
        <x:v>추가 확인 전 작성하지 않음.</x:v>
      </x:c>
      <x:c r="U13" s="35" t="str">
        <x:v>악플 읽기 콘텐츠를 피해 호소로 오해하지 않음.</x:v>
      </x:c>
    </x:row>
    <x:row r="14" ht="72" customHeight="1">
      <x:c r="A14" s="38" t="n">
        <x:v>10</x:v>
      </x:c>
      <x:c r="B14" s="38" t="str">
        <x:v>보류</x:v>
      </x:c>
      <x:c r="C14" s="38" t="str">
        <x:v>하개월</x:v>
      </x:c>
      <x:c r="D14" s="38" t="str">
        <x:v>농문화·일상</x:v>
      </x:c>
      <x:c r="E14" s="38" t="str">
        <x:v>C</x:v>
      </x:c>
      <x:c r="F14" s="40" t="n">
        <x:v>44294</x:v>
      </x:c>
      <x:c r="G14" s="36" t="str">
        <x:v>장애·다양성 콘텐츠를 운영하는 개인 크리에이터라는 점은 공식·언론 자료로 확인되지만, 이번 조사에서 악성 댓글 피해를 본인이 공개한 직접 근거는 확보하지 못함.</x:v>
      </x:c>
      <x:c r="H14" s="36" t="str">
        <x:v>미확인</x:v>
      </x:c>
      <x:c r="I14" s="36" t="str">
        <x:v>미확인</x:v>
      </x:c>
      <x:c r="J14" s="42" t="n">
        <x:v>1</x:v>
      </x:c>
      <x:c r="K14" s="42" t="n">
        <x:v>1</x:v>
      </x:c>
      <x:c r="L14" s="42" t="n">
        <x:v>4</x:v>
      </x:c>
      <x:c r="M14" s="42" t="n">
        <x:v>2</x:v>
      </x:c>
      <x:c r="N14" s="42" t="n">
        <x:v>4</x:v>
      </x:c>
      <x:c r="O14" s="42" t="n">
        <x:f>ROUND((J14*'점수기준'!$B$5+K14*'점수기준'!$B$6+L14*'점수기준'!$B$7+M14*'점수기준'!$B$8+N14*'점수기준'!$B$9)*20,0)</x:f>
        <x:v>37</x:v>
      </x:c>
      <x:c r="P14" s="36" t="str">
        <x:v>https://www.youtube.com/results?search_query=%ED%95%98%EA%B0%9C%EC%9B%94</x:v>
      </x:c>
      <x:c r="Q14" s="36" t="str">
        <x:v>https://www.womennews.co.kr/news/articleView.html?idxno=210599</x:v>
      </x:c>
      <x:c r="R14" s="36" t="str">
        <x:v>https://www.womennews.co.kr/news/articleView.html?idxno=210599</x:v>
      </x:c>
      <x:c r="S14" s="36" t="str">
        <x:v>서비스 인터뷰 후보로는 검토할 수 있지만 ‘악플 피해자’로 분류할 근거가 부족함. 사용자 요청에 맞춰 조사 대기열에만 둠.</x:v>
      </x:c>
      <x:c r="T14" s="36" t="str">
        <x:v>추가 확인 전 작성하지 않음.</x:v>
      </x:c>
      <x:c r="U14" s="36" t="str">
        <x:v>장애/정체성을 악플 피해의 대리 지표로 사용하지 않음.</x:v>
      </x:c>
    </x:row>
  </x:sheetData>
  <x:mergeCells>
    <x:mergeCell ref="A1:U1"/>
    <x:mergeCell ref="A2:U2"/>
  </x:mergeCells>
  <x:conditionalFormatting sqref="O5:O14">
    <x:cfRule type="colorScale" priority="1">
      <x:colorScale>
        <x:cfvo type="min"/>
        <x:cfvo type="percentile" val="50"/>
        <x:cfvo type="max"/>
        <x:color rgb="FFFCA5A5"/>
        <x:color rgb="FFFDE68A"/>
        <x:color rgb="FF86EFAC"/>
      </x:colorScale>
    </x:cfRule>
  </x:conditionalFormatting>
  <x:conditionalFormatting sqref="B5:B14">
    <x:cfRule type="containsText" dxfId="0" priority="2" operator="containsText" text="1차"/>
    <x:cfRule type="containsText" dxfId="1" priority="3" operator="containsText" text="2차"/>
    <x:cfRule type="containsText" dxfId="2" priority="4" operator="containsText" text="보류"/>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1" hidden="0" customWidth="1"/>
    <x:col min="3" max="3" width="11" hidden="0" customWidth="1"/>
    <x:col min="4" max="4" width="11" hidden="0" customWidth="1"/>
    <x:col min="5" max="5" width="42" hidden="0" customWidth="1"/>
    <x:col min="6" max="6" width="32" hidden="0" customWidth="1"/>
    <x:col min="7" max="7" width="17" hidden="0" customWidth="1"/>
    <x:col min="8" max="8" width="17" hidden="0" customWidth="1"/>
    <x:col min="9" max="9" width="17" hidden="0" customWidth="1"/>
    <x:col min="10" max="10" width="17" hidden="0" customWidth="1"/>
    <x:col min="11" max="11" width="14" hidden="0" customWidth="1"/>
    <x:col min="12" max="12" width="14" hidden="0" customWidth="1"/>
    <x:col min="13" max="13" width="34" hidden="0" customWidth="1"/>
  </x:cols>
  <x:sheetData>
    <x:row r="1" ht="36" customHeight="1">
      <x:c r="A1" s="3" t="str">
        <x:v>공개 연락처 확인 및 발송 관리</x:v>
      </x:c>
      <x:c r="B1" s="3"/>
      <x:c r="C1" s="3"/>
      <x:c r="D1" s="3"/>
      <x:c r="E1" s="3"/>
      <x:c r="F1" s="3"/>
      <x:c r="G1" s="3"/>
      <x:c r="H1" s="3"/>
      <x:c r="I1" s="3"/>
      <x:c r="J1" s="3"/>
      <x:c r="K1" s="3"/>
      <x:c r="L1" s="3"/>
      <x:c r="M1" s="3"/>
    </x:row>
    <x:row r="2">
      <x:c r="A2" s="57" t="str">
        <x:v>이메일 주소는 추측하지 않았습니다. YouTube 정보란·공식 링크에서 공개 비즈니스 이메일만 확인하고, 보류 후보에게는 추가 근거 확인 전 연락하지 마세요.</x:v>
      </x:c>
      <x:c r="B2" s="57"/>
      <x:c r="C2" s="57"/>
      <x:c r="D2" s="57"/>
      <x:c r="E2" s="57"/>
      <x:c r="F2" s="57"/>
      <x:c r="G2" s="57"/>
      <x:c r="H2" s="57"/>
      <x:c r="I2" s="57"/>
      <x:c r="J2" s="57"/>
      <x:c r="K2" s="57"/>
      <x:c r="L2" s="57"/>
      <x:c r="M2" s="57"/>
    </x:row>
    <x:row r="4" ht="38" customHeight="1">
      <x:c r="A4" s="30" t="str">
        <x:v>채널</x:v>
      </x:c>
      <x:c r="B4" s="30" t="str">
        <x:v>웨이브</x:v>
      </x:c>
      <x:c r="C4" s="30" t="str">
        <x:v>순위</x:v>
      </x:c>
      <x:c r="D4" s="30" t="str">
        <x:v>점수</x:v>
      </x:c>
      <x:c r="E4" s="30" t="str">
        <x:v>공개 연락 경로</x:v>
      </x:c>
      <x:c r="F4" s="30" t="str">
        <x:v>비즈니스 이메일</x:v>
      </x:c>
      <x:c r="G4" s="30" t="str">
        <x:v>주소 확인</x:v>
      </x:c>
      <x:c r="H4" s="30" t="str">
        <x:v>개별화 근거 확인</x:v>
      </x:c>
      <x:c r="I4" s="30" t="str">
        <x:v>초안</x:v>
      </x:c>
      <x:c r="J4" s="30" t="str">
        <x:v>발송 상태</x:v>
      </x:c>
      <x:c r="K4" s="30" t="str">
        <x:v>발송일</x:v>
      </x:c>
      <x:c r="L4" s="30" t="str">
        <x:v>후속일</x:v>
      </x:c>
      <x:c r="M4" s="30" t="str">
        <x:v>메모</x:v>
      </x:c>
    </x:row>
    <x:row r="5" ht="44" customHeight="1">
      <x:c r="A5" s="62" t="str">
        <x:f>'우선순위'!C6</x:f>
        <x:v>원샷한솔</x:v>
      </x:c>
      <x:c r="B5" s="64" t="str">
        <x:f>'우선순위'!B6</x:f>
        <x:v>1차</x:v>
      </x:c>
      <x:c r="C5" s="64" t="n">
        <x:f>'우선순위'!A6</x:f>
        <x:v>1</x:v>
      </x:c>
      <x:c r="D5" s="64" t="n">
        <x:f>'우선순위'!E6</x:f>
        <x:v>96</x:v>
      </x:c>
      <x:c r="E5" s="62" t="str">
        <x:f>'우선순위'!J6</x:f>
        <x:v>https://www.youtube.com/@oneshothansol/about</x:v>
      </x:c>
      <x:c r="F5" s="66"/>
      <x:c r="G5" s="62" t="str">
        <x:v>미확인</x:v>
      </x:c>
      <x:c r="H5" s="62" t="str">
        <x:v>미확인</x:v>
      </x:c>
      <x:c r="I5" s="62" t="str">
        <x:v>미작성</x:v>
      </x:c>
      <x:c r="J5" s="62" t="str">
        <x:v>미발송</x:v>
      </x:c>
      <x:c r="K5" s="68"/>
      <x:c r="L5" s="68"/>
      <x:c r="M5" s="62"/>
    </x:row>
    <x:row r="6" ht="44" customHeight="1">
      <x:c r="A6" s="62" t="str">
        <x:f>'우선순위'!C7</x:f>
        <x:v>굴러라 구르님</x:v>
      </x:c>
      <x:c r="B6" s="64" t="str">
        <x:f>'우선순위'!B7</x:f>
        <x:v>1차</x:v>
      </x:c>
      <x:c r="C6" s="64" t="n">
        <x:f>'우선순위'!A7</x:f>
        <x:v>2</x:v>
      </x:c>
      <x:c r="D6" s="64" t="n">
        <x:f>'우선순위'!E7</x:f>
        <x:v>93</x:v>
      </x:c>
      <x:c r="E6" s="62" t="str">
        <x:f>'우선순위'!J7</x:f>
        <x:v>https://linktr.ee/rollingguru</x:v>
      </x:c>
      <x:c r="F6" s="66"/>
      <x:c r="G6" s="62" t="str">
        <x:v>미확인</x:v>
      </x:c>
      <x:c r="H6" s="62" t="str">
        <x:v>미확인</x:v>
      </x:c>
      <x:c r="I6" s="62" t="str">
        <x:v>미작성</x:v>
      </x:c>
      <x:c r="J6" s="62" t="str">
        <x:v>미발송</x:v>
      </x:c>
      <x:c r="K6" s="68"/>
      <x:c r="L6" s="68"/>
      <x:c r="M6" s="62"/>
    </x:row>
    <x:row r="7" ht="44" customHeight="1">
      <x:c r="A7" s="62" t="str">
        <x:f>'우선순위'!C8</x:f>
        <x:v>노래하는 민이</x:v>
      </x:c>
      <x:c r="B7" s="64" t="str">
        <x:f>'우선순위'!B8</x:f>
        <x:v>1차</x:v>
      </x:c>
      <x:c r="C7" s="64" t="n">
        <x:f>'우선순위'!A8</x:f>
        <x:v>3</x:v>
      </x:c>
      <x:c r="D7" s="64" t="n">
        <x:f>'우선순위'!E8</x:f>
        <x:v>82</x:v>
      </x:c>
      <x:c r="E7" s="62" t="str">
        <x:f>'우선순위'!J8</x:f>
        <x:v>발송 전 현재 공식 채널·공개 연락처 확인 필요</x:v>
      </x:c>
      <x:c r="F7" s="66"/>
      <x:c r="G7" s="62" t="str">
        <x:v>미확인</x:v>
      </x:c>
      <x:c r="H7" s="62" t="str">
        <x:v>미확인</x:v>
      </x:c>
      <x:c r="I7" s="62" t="str">
        <x:v>미작성</x:v>
      </x:c>
      <x:c r="J7" s="62" t="str">
        <x:v>미발송</x:v>
      </x:c>
      <x:c r="K7" s="68"/>
      <x:c r="L7" s="68"/>
      <x:c r="M7" s="62"/>
    </x:row>
    <x:row r="8" ht="44" customHeight="1">
      <x:c r="A8" s="62" t="str">
        <x:f>'우선순위'!C9</x:f>
        <x:v>위라클 WERACLE</x:v>
      </x:c>
      <x:c r="B8" s="64" t="str">
        <x:f>'우선순위'!B9</x:f>
        <x:v>1차</x:v>
      </x:c>
      <x:c r="C8" s="64" t="n">
        <x:f>'우선순위'!A9</x:f>
        <x:v>4</x:v>
      </x:c>
      <x:c r="D8" s="64" t="n">
        <x:f>'우선순위'!E9</x:f>
        <x:v>86</x:v>
      </x:c>
      <x:c r="E8" s="62" t="str">
        <x:f>'우선순위'!J9</x:f>
        <x:v>https://www.youtube.com/@weracle/about</x:v>
      </x:c>
      <x:c r="F8" s="66"/>
      <x:c r="G8" s="62" t="str">
        <x:v>미확인</x:v>
      </x:c>
      <x:c r="H8" s="62" t="str">
        <x:v>미확인</x:v>
      </x:c>
      <x:c r="I8" s="62" t="str">
        <x:v>미작성</x:v>
      </x:c>
      <x:c r="J8" s="62" t="str">
        <x:v>미발송</x:v>
      </x:c>
      <x:c r="K8" s="68"/>
      <x:c r="L8" s="68"/>
      <x:c r="M8" s="62"/>
    </x:row>
    <x:row r="9" ht="44" customHeight="1">
      <x:c r="A9" s="62" t="str">
        <x:f>'우선순위'!C10</x:f>
        <x:v>쯔양</x:v>
      </x:c>
      <x:c r="B9" s="64" t="str">
        <x:f>'우선순위'!B10</x:f>
        <x:v>2차</x:v>
      </x:c>
      <x:c r="C9" s="64" t="n">
        <x:f>'우선순위'!A10</x:f>
        <x:v>5</x:v>
      </x:c>
      <x:c r="D9" s="64" t="n">
        <x:f>'우선순위'!E10</x:f>
        <x:v>78</x:v>
      </x:c>
      <x:c r="E9" s="62" t="str">
        <x:f>'우선순위'!J10</x:f>
        <x:v>https://www.youtube.com/@tzuyang6145/about</x:v>
      </x:c>
      <x:c r="F9" s="66"/>
      <x:c r="G9" s="62" t="str">
        <x:v>미확인</x:v>
      </x:c>
      <x:c r="H9" s="62" t="str">
        <x:v>미확인</x:v>
      </x:c>
      <x:c r="I9" s="62" t="str">
        <x:v>미작성</x:v>
      </x:c>
      <x:c r="J9" s="62" t="str">
        <x:v>미발송</x:v>
      </x:c>
      <x:c r="K9" s="68"/>
      <x:c r="L9" s="68"/>
      <x:c r="M9" s="62"/>
    </x:row>
    <x:row r="10" ht="44" customHeight="1">
      <x:c r="A10" s="62" t="str">
        <x:f>'우선순위'!C11</x:f>
        <x:v>진정부부</x:v>
      </x:c>
      <x:c r="B10" s="64" t="str">
        <x:f>'우선순위'!B11</x:f>
        <x:v>2차</x:v>
      </x:c>
      <x:c r="C10" s="64" t="n">
        <x:f>'우선순위'!A11</x:f>
        <x:v>6</x:v>
      </x:c>
      <x:c r="D10" s="64" t="n">
        <x:f>'우선순위'!E11</x:f>
        <x:v>73</x:v>
      </x:c>
      <x:c r="E10" s="62" t="str">
        <x:f>'우선순위'!J11</x:f>
        <x:v>https://www.youtube.com/@jinjeongbubu/about</x:v>
      </x:c>
      <x:c r="F10" s="66"/>
      <x:c r="G10" s="62" t="str">
        <x:v>미확인</x:v>
      </x:c>
      <x:c r="H10" s="62" t="str">
        <x:v>미확인</x:v>
      </x:c>
      <x:c r="I10" s="62" t="str">
        <x:v>미작성</x:v>
      </x:c>
      <x:c r="J10" s="62" t="str">
        <x:v>미발송</x:v>
      </x:c>
      <x:c r="K10" s="68"/>
      <x:c r="L10" s="68"/>
      <x:c r="M10" s="62"/>
    </x:row>
    <x:row r="11" ht="44" customHeight="1">
      <x:c r="A11" s="62" t="str">
        <x:f>'우선순위'!C12</x:f>
        <x:v>코노(틱장애 콘텐츠)</x:v>
      </x:c>
      <x:c r="B11" s="64" t="str">
        <x:f>'우선순위'!B12</x:f>
        <x:v>2차</x:v>
      </x:c>
      <x:c r="C11" s="64" t="n">
        <x:f>'우선순위'!A12</x:f>
        <x:v>7</x:v>
      </x:c>
      <x:c r="D11" s="64" t="n">
        <x:f>'우선순위'!E12</x:f>
        <x:v>72</x:v>
      </x:c>
      <x:c r="E11" s="62" t="str">
        <x:f>'우선순위'!J12</x:f>
        <x:v>발송 전 현재 공식 채널·공개 연락처 확인 필요</x:v>
      </x:c>
      <x:c r="F11" s="66"/>
      <x:c r="G11" s="62" t="str">
        <x:v>미확인</x:v>
      </x:c>
      <x:c r="H11" s="62" t="str">
        <x:v>미확인</x:v>
      </x:c>
      <x:c r="I11" s="62" t="str">
        <x:v>미작성</x:v>
      </x:c>
      <x:c r="J11" s="62" t="str">
        <x:v>미발송</x:v>
      </x:c>
      <x:c r="K11" s="68"/>
      <x:c r="L11" s="68"/>
      <x:c r="M11" s="62"/>
    </x:row>
    <x:row r="12" ht="44" customHeight="1">
      <x:c r="A12" s="62" t="str">
        <x:f>'우선순위'!C13</x:f>
        <x:v>빠니보틀</x:v>
      </x:c>
      <x:c r="B12" s="64" t="str">
        <x:f>'우선순위'!B13</x:f>
        <x:v>2차</x:v>
      </x:c>
      <x:c r="C12" s="64" t="n">
        <x:f>'우선순위'!A13</x:f>
        <x:v>8</x:v>
      </x:c>
      <x:c r="D12" s="64" t="n">
        <x:f>'우선순위'!E13</x:f>
        <x:v>65</x:v>
      </x:c>
      <x:c r="E12" s="62" t="str">
        <x:f>'우선순위'!J13</x:f>
        <x:v>https://www.youtube.com/@PaniBottle/about</x:v>
      </x:c>
      <x:c r="F12" s="66"/>
      <x:c r="G12" s="62" t="str">
        <x:v>미확인</x:v>
      </x:c>
      <x:c r="H12" s="62" t="str">
        <x:v>미확인</x:v>
      </x:c>
      <x:c r="I12" s="62" t="str">
        <x:v>미작성</x:v>
      </x:c>
      <x:c r="J12" s="62" t="str">
        <x:v>미발송</x:v>
      </x:c>
      <x:c r="K12" s="68"/>
      <x:c r="L12" s="68"/>
      <x:c r="M12" s="62"/>
    </x:row>
    <x:row r="13" ht="44" customHeight="1">
      <x:c r="A13" s="62" t="str">
        <x:f>'우선순위'!C14</x:f>
        <x:v>개과천선 서인영</x:v>
      </x:c>
      <x:c r="B13" s="64" t="str">
        <x:f>'우선순위'!B14</x:f>
        <x:v>보류</x:v>
      </x:c>
      <x:c r="C13" s="64" t="n">
        <x:f>'우선순위'!A14</x:f>
        <x:v>9</x:v>
      </x:c>
      <x:c r="D13" s="64" t="n">
        <x:f>'우선순위'!E14</x:f>
        <x:v>57</x:v>
      </x:c>
      <x:c r="E13" s="62" t="str">
        <x:f>'우선순위'!J14</x:f>
        <x:v>추가 확인 전 연락 보류</x:v>
      </x:c>
      <x:c r="F13" s="66"/>
      <x:c r="G13" s="62" t="str">
        <x:v>미확인</x:v>
      </x:c>
      <x:c r="H13" s="62" t="str">
        <x:v>추가 근거 필요</x:v>
      </x:c>
      <x:c r="I13" s="62" t="str">
        <x:v>미작성</x:v>
      </x:c>
      <x:c r="J13" s="62" t="str">
        <x:v>미발송</x:v>
      </x:c>
      <x:c r="K13" s="68"/>
      <x:c r="L13" s="68"/>
      <x:c r="M13" s="62"/>
    </x:row>
    <x:row r="14" ht="44" customHeight="1">
      <x:c r="A14" s="63" t="str">
        <x:f>'우선순위'!C15</x:f>
        <x:v>하개월</x:v>
      </x:c>
      <x:c r="B14" s="65" t="str">
        <x:f>'우선순위'!B15</x:f>
        <x:v>보류</x:v>
      </x:c>
      <x:c r="C14" s="65" t="n">
        <x:f>'우선순위'!A15</x:f>
        <x:v>10</x:v>
      </x:c>
      <x:c r="D14" s="65" t="n">
        <x:f>'우선순위'!E15</x:f>
        <x:v>37</x:v>
      </x:c>
      <x:c r="E14" s="63" t="str">
        <x:f>'우선순위'!J15</x:f>
        <x:v>추가 확인 전 연락 보류</x:v>
      </x:c>
      <x:c r="F14" s="67"/>
      <x:c r="G14" s="63" t="str">
        <x:v>미확인</x:v>
      </x:c>
      <x:c r="H14" s="63" t="str">
        <x:v>추가 근거 필요</x:v>
      </x:c>
      <x:c r="I14" s="63" t="str">
        <x:v>미작성</x:v>
      </x:c>
      <x:c r="J14" s="63" t="str">
        <x:v>미발송</x:v>
      </x:c>
      <x:c r="K14" s="69"/>
      <x:c r="L14" s="69"/>
      <x:c r="M14" s="63"/>
    </x:row>
  </x:sheetData>
  <x:mergeCells>
    <x:mergeCell ref="A1:M1"/>
    <x:mergeCell ref="A2:M2"/>
  </x:mergeCells>
  <x:dataValidations count="4">
    <x:dataValidation type="list" sqref="G5:G14">
      <x:formula1>"미확인,공개주소 확인,주소 없음,제외"</x:formula1>
    </x:dataValidation>
    <x:dataValidation type="list" sqref="H5:H14">
      <x:formula1>"미확인,확인완료,추가 근거 필요,부적합"</x:formula1>
    </x:dataValidation>
    <x:dataValidation type="list" sqref="I5:I14">
      <x:formula1>"미작성,작성중,완료"</x:formula1>
    </x:dataValidation>
    <x:dataValidation type="list" sqref="J5:J14">
      <x:formula1>"미발송,발송,답변,미회신,제외"</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9" hidden="0" customWidth="1"/>
    <x:col min="4" max="4" width="29" hidden="0" customWidth="1"/>
    <x:col min="5" max="5" width="29" hidden="0" customWidth="1"/>
    <x:col min="6" max="6" width="34" hidden="0" customWidth="1"/>
  </x:cols>
  <x:sheetData>
    <x:row r="1" ht="36" customHeight="1">
      <x:c r="A1" s="24" t="str">
        <x:v>CrowdSift 악플 피해 중심 우선순위 기준</x:v>
      </x:c>
      <x:c r="B1" s="24"/>
      <x:c r="C1" s="24"/>
      <x:c r="D1" s="24"/>
      <x:c r="E1" s="24"/>
      <x:c r="F1" s="24"/>
    </x:row>
    <x:row r="2" ht="42" customHeight="1">
      <x:c r="A2" s="6" t="str">
        <x:v>보호 특성·장애 여부는 점수에 넣지 않습니다. 본인 공개 또는 신뢰할 만한 보도로 확인된 악플 피해와 CrowdSift의 해결 가능 범위만 평가합니다.</x:v>
      </x:c>
      <x:c r="B2" s="6"/>
      <x:c r="C2" s="6"/>
      <x:c r="D2" s="6"/>
      <x:c r="E2" s="6"/>
      <x:c r="F2" s="6"/>
    </x:row>
    <x:row r="4">
      <x:c r="A4" s="9" t="str">
        <x:v>평가항목</x:v>
      </x:c>
      <x:c r="B4" s="9" t="str">
        <x:v>가중치</x:v>
      </x:c>
      <x:c r="C4" s="9" t="str">
        <x:v>1점</x:v>
      </x:c>
      <x:c r="D4" s="9" t="str">
        <x:v>3점</x:v>
      </x:c>
      <x:c r="E4" s="9" t="str">
        <x:v>5점</x:v>
      </x:c>
      <x:c r="F4" s="9" t="str">
        <x:v>사용 이유</x:v>
      </x:c>
    </x:row>
    <x:row r="5" ht="44" customHeight="1">
      <x:c r="A5" s="14" t="str">
        <x:v>공개 악플 피해 근거</x:v>
      </x:c>
      <x:c r="B5" s="16" t="n">
        <x:v>0.4</x:v>
      </x:c>
      <x:c r="C5" s="14" t="str">
        <x:v>추정뿐</x:v>
      </x:c>
      <x:c r="D5" s="14" t="str">
        <x:v>신뢰 매체의 간접 보도</x:v>
      </x:c>
      <x:c r="E5" s="14" t="str">
        <x:v>본인 영상·직접 발언·명확한 공개 기록</x:v>
      </x:c>
      <x:c r="F5" s="14" t="str">
        <x:v>‘실제로 시달렸는가’를 최우선 반영</x:v>
      </x:c>
    </x:row>
    <x:row r="6" ht="44" customHeight="1">
      <x:c r="A6" s="14" t="str">
        <x:v>피해 심각도</x:v>
      </x:c>
      <x:c r="B6" s="16" t="n">
        <x:v>0.25</x:v>
      </x:c>
      <x:c r="C6" s="14" t="str">
        <x:v>불편 수준</x:v>
      </x:c>
      <x:c r="D6" s="14" t="str">
        <x:v>반복 비난·공개 해명</x:v>
      </x:c>
      <x:c r="E6" s="14" t="str">
        <x:v>눈물·중단·폐쇄·법적 대응 등</x:v>
      </x:c>
      <x:c r="F6" s="14" t="str">
        <x:v>서비스 필요성의 절박함</x:v>
      </x:c>
    </x:row>
    <x:row r="7" ht="44" customHeight="1">
      <x:c r="A7" s="14" t="str">
        <x:v>CrowdSift 적합도</x:v>
      </x:c>
      <x:c r="B7" s="16" t="n">
        <x:v>0.15</x:v>
      </x:c>
      <x:c r="C7" s="14" t="str">
        <x:v>댓글 분류와 거리 멂</x:v>
      </x:c>
      <x:c r="D7" s="14" t="str">
        <x:v>일부 도움 가능</x:v>
      </x:c>
      <x:c r="E7" s="14" t="str">
        <x:v>악성 원문과 유용한 신호가 혼재</x:v>
      </x:c>
      <x:c r="F7" s="14" t="str">
        <x:v>현재 제품이 실제로 도울 수 있는 범위</x:v>
      </x:c>
    </x:row>
    <x:row r="8" ht="44" customHeight="1">
      <x:c r="A8" s="14" t="str">
        <x:v>최근 활동성</x:v>
      </x:c>
      <x:c r="B8" s="16" t="n">
        <x:v>0.1</x:v>
      </x:c>
      <x:c r="C8" s="14" t="str">
        <x:v>현재 활동 미확인</x:v>
      </x:c>
      <x:c r="D8" s="14" t="str">
        <x:v>간헐 활동</x:v>
      </x:c>
      <x:c r="E8" s="14" t="str">
        <x:v>최근 활발</x:v>
      </x:c>
      <x:c r="F8" s="14" t="str">
        <x:v>파일럿 실행 가능성</x:v>
      </x:c>
    </x:row>
    <x:row r="9" ht="44" customHeight="1">
      <x:c r="A9" s="15" t="str">
        <x:v>접근 가능성</x:v>
      </x:c>
      <x:c r="B9" s="17" t="n">
        <x:v>0.1</x:v>
      </x:c>
      <x:c r="C9" s="15" t="str">
        <x:v>초대형 조직/경로 불명</x:v>
      </x:c>
      <x:c r="D9" s="15" t="str">
        <x:v>일반 문의 가능</x:v>
      </x:c>
      <x:c r="E9" s="15" t="str">
        <x:v>개인·소규모/공개 경로 명확</x:v>
      </x:c>
      <x:c r="F9" s="15" t="str">
        <x:v>초기 대화 성사 가능성</x:v>
      </x:c>
    </x:row>
    <x:row r="11">
      <x:c r="A11" s="19" t="str">
        <x:v>종합점수 = (5개 항목 × 가중치의 합) × 20</x:v>
      </x:c>
      <x:c r="B11" s="19"/>
      <x:c r="C11" s="19"/>
      <x:c r="D11" s="19"/>
      <x:c r="E11" s="19"/>
      <x:c r="F11" s="19"/>
    </x:row>
    <x:row r="13">
      <x:c r="A13" s="21" t="str">
        <x:v>구분</x:v>
      </x:c>
      <x:c r="B13" s="21" t="str">
        <x:v>근거 조건</x:v>
      </x:c>
      <x:c r="C13" s="21" t="str">
        <x:v>권장 행동</x:v>
      </x:c>
      <x:c r="D13" s="21" t="str">
        <x:v>메일 방식</x:v>
      </x:c>
      <x:c r="E13" s="21" t="str">
        <x:v>주의</x:v>
      </x:c>
      <x:c r="F13" s="21" t="str"/>
    </x:row>
    <x:row r="14">
      <x:c r="A14" s="12" t="str">
        <x:v>1차</x:v>
      </x:c>
      <x:c r="B14" s="12" t="str">
        <x:v>A/B 근거 + 제품 적합도 4 이상</x:v>
      </x:c>
      <x:c r="C14" s="12" t="str">
        <x:v>현재 활동 확인 후 우선 연락</x:v>
      </x:c>
      <x:c r="D14" s="12" t="str">
        <x:v>개별화 + 20–50댓글 무료 파일럿</x:v>
      </x:c>
      <x:c r="E14" s="12" t="str">
        <x:v>악성 원문 재인용 금지</x:v>
      </x:c>
      <x:c r="F14" s="12" t="str"/>
    </x:row>
    <x:row r="15">
      <x:c r="A15" s="12" t="str">
        <x:v>2차</x:v>
      </x:c>
      <x:c r="B15" s="12" t="str">
        <x:v>근거는 있으나 접근성·활동·제품 범위 제약</x:v>
      </x:c>
      <x:c r="C15" s="12" t="str">
        <x:v>1차 반응 후 순차 연락</x:v>
      </x:c>
      <x:c r="D15" s="12" t="str">
        <x:v>범위를 더 명확히 제한</x:v>
      </x:c>
      <x:c r="E15" s="12" t="str">
        <x:v>피해를 영업 소재화하지 않기</x:v>
      </x:c>
      <x:c r="F15" s="12" t="str"/>
    </x:row>
    <x:row r="16">
      <x:c r="A16" s="13" t="str">
        <x:v>보류</x:v>
      </x:c>
      <x:c r="B16" s="13" t="str">
        <x:v>피해 직접 근거 부족 또는 본인 확인 필요</x:v>
      </x:c>
      <x:c r="C16" s="13" t="str">
        <x:v>추가 조사 전 연락 금지</x:v>
      </x:c>
      <x:c r="D16" s="13" t="str">
        <x:v>초안 작성하지 않음</x:v>
      </x:c>
      <x:c r="E16" s="13" t="str">
        <x:v>정체성으로 피해를 추정하지 않기</x:v>
      </x:c>
      <x:c r="F16" s="13" t="str"/>
    </x:row>
    <x:row r="18">
      <x:c r="A18" s="23" t="str">
        <x:v>근거 등급</x:v>
      </x:c>
      <x:c r="B18" s="23" t="str">
        <x:v>정의</x:v>
      </x:c>
      <x:c r="C18" s="23" t="str">
        <x:v>1차 연락 가능?</x:v>
      </x:c>
      <x:c r="D18" s="23" t="str">
        <x:v>예시</x:v>
      </x:c>
      <x:c r="E18" s="23" t="str"/>
      <x:c r="F18" s="23" t="str"/>
    </x:row>
    <x:row r="19">
      <x:c r="A19" s="12" t="str">
        <x:v>A</x:v>
      </x:c>
      <x:c r="B19" s="12" t="str">
        <x:v>본인 영상·직접 발언 또는 명백한 행동 기록</x:v>
      </x:c>
      <x:c r="C19" s="12" t="str">
        <x:v>가능</x:v>
      </x:c>
      <x:c r="D19" s="12" t="str">
        <x:v>직접 고백, 채널 폐쇄, 공개 대응</x:v>
      </x:c>
      <x:c r="E19" s="12" t="str"/>
      <x:c r="F19" s="12" t="str"/>
    </x:row>
    <x:row r="20">
      <x:c r="A20" s="12" t="str">
        <x:v>B</x:v>
      </x:c>
      <x:c r="B20" s="12" t="str">
        <x:v>신뢰 가능한 매체가 본인 발언·행동을 구체적으로 보도</x:v>
      </x:c>
      <x:c r="C20" s="12" t="str">
        <x:v>조건부 가능</x:v>
      </x:c>
      <x:c r="D20" s="12" t="str">
        <x:v>인용 보도, 법적 대응 기록</x:v>
      </x:c>
      <x:c r="E20" s="12" t="str"/>
      <x:c r="F20" s="12" t="str"/>
    </x:row>
    <x:row r="21">
      <x:c r="A21" s="12" t="str">
        <x:v>C</x:v>
      </x:c>
      <x:c r="B21" s="12" t="str">
        <x:v>간접 정황·추정·피해 여부 미확인</x:v>
      </x:c>
      <x:c r="C21" s="12" t="str">
        <x:v>불가</x:v>
      </x:c>
      <x:c r="D21" s="12" t="str">
        <x:v>악플 읽기 콘텐츠만 확인, 정체성 기반 추정</x:v>
      </x:c>
      <x:c r="E21" s="12" t="str"/>
      <x:c r="F21" s="12" t="str"/>
    </x:row>
    <x:row r="22">
      <x:c r="A22" s="13" t="str">
        <x:v>발송 전 게이트</x:v>
      </x:c>
      <x:c r="B22" s="13" t="str">
        <x:v>현재 활동·공식 채널·공개 연락처·피해 근거를 다시 확인</x:v>
      </x:c>
      <x:c r="C22" s="13" t="str">
        <x:v>필수</x:v>
      </x:c>
      <x:c r="D22" s="13" t="str">
        <x:v>하나라도 불명확하면 보류</x:v>
      </x:c>
      <x:c r="E22" s="13" t="str"/>
      <x:c r="F22" s="13" t="str"/>
    </x:row>
  </x:sheetData>
  <x:mergeCells>
    <x:mergeCell ref="A1:F1"/>
    <x:mergeCell ref="A2:F2"/>
    <x:mergeCell ref="A11:F1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62" hidden="0" customWidth="1"/>
    <x:col min="4" max="4" width="34" hidden="0" customWidth="1"/>
    <x:col min="5" max="5" width="34" hidden="0" customWidth="1"/>
    <x:col min="6" max="6" width="34" hidden="0" customWidth="1"/>
  </x:cols>
  <x:sheetData>
    <x:row r="1" ht="36" customHeight="1">
      <x:c r="A1" s="3" t="str">
        <x:v>악플 피해 크리에이터 대상 메일 초안</x:v>
      </x:c>
      <x:c r="B1" s="3"/>
      <x:c r="C1" s="3"/>
      <x:c r="D1" s="3"/>
      <x:c r="E1" s="3"/>
      <x:c r="F1" s="3"/>
    </x:row>
    <x:row r="2">
      <x:c r="A2" s="46" t="str">
        <x:v>첫 메일은 짧고 구체적으로 보냅니다. 피해 댓글을 그대로 인용하지 말고, 공개 근거를 한 문장으로만 개인화하세요.</x:v>
      </x:c>
      <x:c r="B2" s="46"/>
      <x:c r="C2" s="46"/>
      <x:c r="D2" s="46"/>
      <x:c r="E2" s="46"/>
      <x:c r="F2" s="46"/>
    </x:row>
    <x:row r="4">
      <x:c r="A4" s="9" t="str">
        <x:v>용도</x:v>
      </x:c>
      <x:c r="B4" s="9" t="str">
        <x:v>항목</x:v>
      </x:c>
      <x:c r="C4" s="9" t="str">
        <x:v>권장 문안</x:v>
      </x:c>
      <x:c r="D4" s="9" t="str">
        <x:v>사용 규칙</x:v>
      </x:c>
      <x:c r="E4" s="9" t="str">
        <x:v>대체 문안</x:v>
      </x:c>
      <x:c r="F4" s="9" t="str">
        <x:v>주의</x:v>
      </x:c>
    </x:row>
    <x:row r="5" ht="64" customHeight="1">
      <x:c r="A5" s="62" t="str">
        <x:v>첫 메일</x:v>
      </x:c>
      <x:c r="B5" s="62" t="str">
        <x:v>제목</x:v>
      </x:c>
      <x:c r="C5" s="62" t="str">
        <x:v>[채널명] 댓글을 직접 읽지 않아도 되게 만드는 작은 실험을 제안드립니다</x:v>
      </x:c>
      <x:c r="D5" s="62" t="str">
        <x:v>채널명만 개인화</x:v>
      </x:c>
      <x:c r="E5" s="62" t="str">
        <x:v>악성 원문을 가리고 필요한 피드백만 전달하는 무료 테스트 제안</x:v>
      </x:c>
      <x:c r="F5" s="62" t="str">
        <x:v>‘악플 피해자’라는 표현은 제목에 쓰지 않기</x:v>
      </x:c>
    </x:row>
    <x:row r="6" ht="64" customHeight="1">
      <x:c r="A6" s="62" t="str">
        <x:v>첫 메일</x:v>
      </x:c>
      <x:c r="B6" s="62" t="str">
        <x:v>개인화 도입</x:v>
      </x:c>
      <x:c r="C6" s="62" t="str">
        <x:v>안녕하세요, [이름]님. 최근 [영상/인터뷰]에서 반복되는 악성 댓글로 겪으신 부담을 접했습니다.</x:v>
      </x:c>
      <x:c r="D6" s="62" t="str">
        <x:v>공개 근거가 확인된 경우만 사용</x:v>
      </x:c>
      <x:c r="E6" s="62" t="str">
        <x:v>최근 [구체 콘텐츠]에서 댓글을 직접 확인해야 하는 부담을 말씀하신 부분을 봤습니다.</x:v>
      </x:c>
      <x:c r="F6" s="62" t="str">
        <x:v>악성 문구를 다시 인용하지 않기</x:v>
      </x:c>
    </x:row>
    <x:row r="7" ht="64" customHeight="1">
      <x:c r="A7" s="62" t="str">
        <x:v>첫 메일</x:v>
      </x:c>
      <x:c r="B7" s="62" t="str">
        <x:v>문제·해결</x:v>
      </x:c>
      <x:c r="C7" s="62" t="str">
        <x:v>저는 악성 댓글 원문은 가리고, 그 안의 실제 개선 의견·질문·좋은 피드백만 부드럽게 정리해 전달하는 CrowdSift를 만들고 있습니다.</x:v>
      </x:c>
      <x:c r="D7" s="62" t="str">
        <x:v>기능을 한 문장으로 설명</x:v>
      </x:c>
      <x:c r="E7" s="62" t="str">
        <x:v>순수 비난은 분리하고, 도움이 되는 의견만 순화해 보여주는 도구를 만들고 있습니다.</x:v>
      </x:c>
      <x:c r="F7" s="62" t="str">
        <x:v>자동 삭제·차단을 약속하지 않기</x:v>
      </x:c>
    </x:row>
    <x:row r="8" ht="64" customHeight="1">
      <x:c r="A8" s="62" t="str">
        <x:v>첫 메일</x:v>
      </x:c>
      <x:c r="B8" s="62" t="str">
        <x:v>작은 제안</x:v>
      </x:c>
      <x:c r="C8" s="62" t="str">
        <x:v>원하시면 채널 연결 없이 최근 공개 영상 1개의 댓글 20–50개를 무료로 분류해 결과만 보내드리겠습니다. 삭제·차단 같은 조치는 전혀 하지 않습니다.</x:v>
      </x:c>
      <x:c r="D8" s="62" t="str">
        <x:v>첫 접촉은 20개, 동의 시 50개</x:v>
      </x:c>
      <x:c r="E8" s="62" t="str">
        <x:v>공개 댓글만으로 1페이지 샘플을 먼저 만들어드릴 수 있습니다.</x:v>
      </x:c>
      <x:c r="F8" s="62" t="str">
        <x:v>개인정보·민감정보를 수집하지 않기</x:v>
      </x:c>
    </x:row>
    <x:row r="9" ht="64" customHeight="1">
      <x:c r="A9" s="62" t="str">
        <x:v>첫 메일</x:v>
      </x:c>
      <x:c r="B9" s="62" t="str">
        <x:v>질문·CTA</x:v>
      </x:c>
      <x:c r="C9" s="62" t="str">
        <x:v>혹시 댓글에서 가장 힘든 일이 원문 노출인지, 반복 질문과 유용한 의견을 놓치는 것인지 한 가지만 알려주실 수 있을까요?</x:v>
      </x:c>
      <x:c r="D9" s="62" t="str">
        <x:v>답하기 쉬운 질문 하나만</x:v>
      </x:c>
      <x:c r="E9" s="62" t="str">
        <x:v>원문을 보는 부담과 유용한 의견을 놓치는 문제 중 어느 쪽이 더 크신가요?</x:v>
      </x:c>
      <x:c r="F9" s="62" t="str">
        <x:v>미팅부터 요구하지 않기</x:v>
      </x:c>
    </x:row>
    <x:row r="10" ht="64" customHeight="1">
      <x:c r="A10" s="62" t="str">
        <x:v>후속 메일</x:v>
      </x:c>
      <x:c r="B10" s="62" t="str">
        <x:v>창업 동기</x:v>
      </x:c>
      <x:c r="C10" s="62" t="str">
        <x:v>제가 좋아하던 크리에이터가 악성 댓글 때문에 심한 스트레스를 받고 활동을 그만두는 모습을 보며 이 문제를 시작했습니다.</x:v>
      </x:c>
      <x:c r="D10" s="62" t="str">
        <x:v>답변을 받은 뒤 진정성 설명에 사용</x:v>
      </x:c>
      <x:c r="E10" s="62" t="str">
        <x:v>크리에이터가 댓글로 상처받고 지친 상태에서 콘텐츠를 만들지 않았으면 좋겠다는 마음에서 시작했습니다.</x:v>
      </x:c>
      <x:c r="F10" s="62" t="str">
        <x:v>첫 메일 전체를 창업 서사로 채우지 않기</x:v>
      </x:c>
    </x:row>
    <x:row r="11" ht="64" customHeight="1">
      <x:c r="A11" s="63" t="str">
        <x:v>후속 메일</x:v>
      </x:c>
      <x:c r="B11" s="63" t="str">
        <x:v>순화 예시</x:v>
      </x:c>
      <x:c r="C11" s="63" t="str">
        <x:v>거친 표현 안에 개선 의견이 있으면 ‘편집 템포를 조금 더 빠르게 해달라는 의견’처럼 핵심만 부드럽게 전달하고, 개선점 없는 비난은 별도로 숨깁니다.</x:v>
      </x:c>
      <x:c r="D11" s="63" t="str">
        <x:v>요청받았을 때만 예시 제시</x:v>
      </x:c>
      <x:c r="E11" s="63" t="str">
        <x:v>질문·좋은 피드백·다음 영상 요청도 따로 모읍니다.</x:v>
      </x:c>
      <x:c r="F11" s="63" t="str">
        <x:v>실제 악플 원문을 상대에게 재노출하지 않기</x:v>
      </x:c>
    </x:row>
    <x:row r="13">
      <x:c r="A13" s="21" t="str">
        <x:v>복사해서 쓰는 권장 첫 메일</x:v>
      </x:c>
      <x:c r="B13" s="21"/>
      <x:c r="C13" s="21"/>
      <x:c r="D13" s="21"/>
      <x:c r="E13" s="21"/>
      <x:c r="F13" s="21"/>
    </x:row>
    <x:row r="14" ht="34" customHeight="1">
      <x:c r="A14" s="89" t="str">
        <x:v>제목: [채널명] 댓글을 직접 읽지 않아도 되게 만드는 작은 실험을 제안드립니다
안녕하세요, [이름]님.
최근 [영상/인터뷰]에서 반복되는 악성 댓글로 겪으신 부담을 접했습니다.
저는 악성 댓글 원문은 가리고, 그 안의 실제 개선 의견·질문·좋은 피드백만 부드럽게 정리해 전달하는 CrowdSift를 만들고 있습니다.
원하시면 채널 연결 없이 최근 공개 영상 1개의 댓글 20–50개를 무료로 분류해 결과만 보내드리겠습니다. 삭제·차단 같은 조치는 전혀 하지 않습니다.
혹시 댓글에서 가장 힘든 일이 원문 노출인지, 반복 질문과 유용한 의견을 놓치는 것인지 한 가지만 알려주실 수 있을까요?
감사합니다.
[이름 / 연락처]</x:v>
      </x:c>
      <x:c r="B14" s="90"/>
      <x:c r="C14" s="90"/>
      <x:c r="D14" s="90"/>
      <x:c r="E14" s="90"/>
      <x:c r="F14" s="91"/>
    </x:row>
    <x:row r="15" ht="34" customHeight="1">
      <x:c r="A15" s="92"/>
      <x:c r="B15" s="93"/>
      <x:c r="C15" s="93"/>
      <x:c r="D15" s="93"/>
      <x:c r="E15" s="93"/>
      <x:c r="F15" s="94"/>
    </x:row>
    <x:row r="16" ht="34" customHeight="1">
      <x:c r="A16" s="92"/>
      <x:c r="B16" s="93"/>
      <x:c r="C16" s="93"/>
      <x:c r="D16" s="93"/>
      <x:c r="E16" s="93"/>
      <x:c r="F16" s="94"/>
    </x:row>
    <x:row r="17" ht="34" customHeight="1">
      <x:c r="A17" s="92"/>
      <x:c r="B17" s="93"/>
      <x:c r="C17" s="93"/>
      <x:c r="D17" s="93"/>
      <x:c r="E17" s="93"/>
      <x:c r="F17" s="94"/>
    </x:row>
    <x:row r="18" ht="34" customHeight="1">
      <x:c r="A18" s="92"/>
      <x:c r="B18" s="93"/>
      <x:c r="C18" s="93"/>
      <x:c r="D18" s="93"/>
      <x:c r="E18" s="93"/>
      <x:c r="F18" s="94"/>
    </x:row>
    <x:row r="19" ht="34" customHeight="1">
      <x:c r="A19" s="95"/>
      <x:c r="B19" s="96"/>
      <x:c r="C19" s="96"/>
      <x:c r="D19" s="96"/>
      <x:c r="E19" s="96"/>
      <x:c r="F19" s="97"/>
    </x:row>
  </x:sheetData>
  <x:mergeCells>
    <x:mergeCell ref="A1:F1"/>
    <x:mergeCell ref="A2:F2"/>
    <x:mergeCell ref="A13:F13"/>
    <x:mergeCell ref="A14:F19"/>
  </x:mergeCells>
  <x:pageMargins left="0.7" right="0.7" top="0.75" bottom="0.75" header="0.3" footer="0.3"/>
</x:worksheet>
</file>